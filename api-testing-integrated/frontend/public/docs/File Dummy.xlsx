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1C6C81E-F980-4021-BE8D-CA84CA4C46E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New_Hire_Flows" sheetId="2" r:id="rId1"/>
    <sheet name="Existing_Employee_Flows" sheetId="3" r:id="rId2"/>
  </sheets>
  <definedNames>
    <definedName name="_xlnm._FilterDatabase" localSheetId="1" hidden="1">Existing_Employee_Flows!$A$1:$U$1</definedName>
    <definedName name="_xlnm._FilterDatabase" localSheetId="0" hidden="1">New_Hire_Flows!$A$1:$U$1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7" i="3" l="1"/>
  <c r="R57" i="3"/>
  <c r="P57" i="3"/>
  <c r="P56" i="3"/>
  <c r="R56" i="3" s="1"/>
  <c r="R55" i="3"/>
  <c r="S55" i="3" s="1"/>
  <c r="S56" i="3" s="1"/>
  <c r="P55" i="3"/>
  <c r="P53" i="3"/>
  <c r="R53" i="3" s="1"/>
  <c r="R52" i="3"/>
  <c r="P52" i="3"/>
  <c r="P51" i="3"/>
  <c r="R51" i="3" s="1"/>
  <c r="S51" i="3" s="1"/>
  <c r="S52" i="3" s="1"/>
  <c r="S53" i="3" s="1"/>
  <c r="S49" i="3"/>
  <c r="R49" i="3"/>
  <c r="P49" i="3"/>
  <c r="R48" i="3"/>
  <c r="P48" i="3"/>
  <c r="R47" i="3"/>
  <c r="S47" i="3" s="1"/>
  <c r="S48" i="3" s="1"/>
  <c r="P47" i="3"/>
  <c r="P45" i="3"/>
  <c r="R45" i="3" s="1"/>
  <c r="P44" i="3"/>
  <c r="R44" i="3" s="1"/>
  <c r="P43" i="3"/>
  <c r="R43" i="3" s="1"/>
  <c r="S43" i="3" s="1"/>
  <c r="R41" i="3"/>
  <c r="P41" i="3"/>
  <c r="P40" i="3"/>
  <c r="R40" i="3" s="1"/>
  <c r="R39" i="3"/>
  <c r="P39" i="3"/>
  <c r="P38" i="3"/>
  <c r="R38" i="3" s="1"/>
  <c r="S38" i="3" s="1"/>
  <c r="S39" i="3" s="1"/>
  <c r="S40" i="3" s="1"/>
  <c r="S41" i="3" s="1"/>
  <c r="R36" i="3"/>
  <c r="P36" i="3"/>
  <c r="P35" i="3"/>
  <c r="R35" i="3" s="1"/>
  <c r="P34" i="3"/>
  <c r="R34" i="3" s="1"/>
  <c r="S34" i="3" s="1"/>
  <c r="P32" i="3"/>
  <c r="R32" i="3" s="1"/>
  <c r="R31" i="3"/>
  <c r="P31" i="3"/>
  <c r="P30" i="3"/>
  <c r="R30" i="3" s="1"/>
  <c r="S30" i="3" s="1"/>
  <c r="S31" i="3" s="1"/>
  <c r="S32" i="3" s="1"/>
  <c r="P28" i="3"/>
  <c r="R28" i="3" s="1"/>
  <c r="P27" i="3"/>
  <c r="R27" i="3" s="1"/>
  <c r="R26" i="3"/>
  <c r="P26" i="3"/>
  <c r="P25" i="3"/>
  <c r="R25" i="3" s="1"/>
  <c r="S25" i="3" s="1"/>
  <c r="S26" i="3" s="1"/>
  <c r="P23" i="3"/>
  <c r="R23" i="3" s="1"/>
  <c r="R22" i="3"/>
  <c r="P22" i="3"/>
  <c r="R21" i="3"/>
  <c r="P21" i="3"/>
  <c r="P20" i="3"/>
  <c r="R20" i="3" s="1"/>
  <c r="S20" i="3" s="1"/>
  <c r="S21" i="3" s="1"/>
  <c r="S22" i="3" s="1"/>
  <c r="S23" i="3" s="1"/>
  <c r="P18" i="3"/>
  <c r="R18" i="3" s="1"/>
  <c r="P17" i="3"/>
  <c r="R17" i="3" s="1"/>
  <c r="R16" i="3"/>
  <c r="S16" i="3" s="1"/>
  <c r="P16" i="3"/>
  <c r="P14" i="3"/>
  <c r="R14" i="3" s="1"/>
  <c r="P13" i="3"/>
  <c r="R13" i="3" s="1"/>
  <c r="R12" i="3"/>
  <c r="P12" i="3"/>
  <c r="R11" i="3"/>
  <c r="S11" i="3" s="1"/>
  <c r="S12" i="3" s="1"/>
  <c r="P11" i="3"/>
  <c r="P9" i="3"/>
  <c r="R9" i="3" s="1"/>
  <c r="P8" i="3"/>
  <c r="R8" i="3" s="1"/>
  <c r="R7" i="3"/>
  <c r="P7" i="3"/>
  <c r="R6" i="3"/>
  <c r="S6" i="3" s="1"/>
  <c r="S7" i="3" s="1"/>
  <c r="S8" i="3" s="1"/>
  <c r="S9" i="3" s="1"/>
  <c r="P6" i="3"/>
  <c r="P4" i="3"/>
  <c r="R4" i="3" s="1"/>
  <c r="P3" i="3"/>
  <c r="R3" i="3" s="1"/>
  <c r="P2" i="3"/>
  <c r="R2" i="3" s="1"/>
  <c r="S2" i="3" s="1"/>
  <c r="S3" i="3" s="1"/>
  <c r="S60" i="2"/>
  <c r="R60" i="2"/>
  <c r="P60" i="2"/>
  <c r="P59" i="2"/>
  <c r="R59" i="2" s="1"/>
  <c r="P58" i="2"/>
  <c r="R58" i="2" s="1"/>
  <c r="P57" i="2"/>
  <c r="R57" i="2" s="1"/>
  <c r="S57" i="2" s="1"/>
  <c r="S58" i="2" s="1"/>
  <c r="S59" i="2" s="1"/>
  <c r="S55" i="2"/>
  <c r="R55" i="2"/>
  <c r="P55" i="2"/>
  <c r="P54" i="2"/>
  <c r="R54" i="2" s="1"/>
  <c r="R53" i="2"/>
  <c r="P53" i="2"/>
  <c r="P52" i="2"/>
  <c r="R52" i="2" s="1"/>
  <c r="R51" i="2"/>
  <c r="S51" i="2" s="1"/>
  <c r="P51" i="2"/>
  <c r="P49" i="2"/>
  <c r="R49" i="2" s="1"/>
  <c r="P48" i="2"/>
  <c r="R48" i="2" s="1"/>
  <c r="P47" i="2"/>
  <c r="R47" i="2" s="1"/>
  <c r="R46" i="2"/>
  <c r="S46" i="2" s="1"/>
  <c r="S47" i="2" s="1"/>
  <c r="S48" i="2" s="1"/>
  <c r="S49" i="2" s="1"/>
  <c r="P46" i="2"/>
  <c r="P44" i="2"/>
  <c r="R44" i="2" s="1"/>
  <c r="P43" i="2"/>
  <c r="R43" i="2" s="1"/>
  <c r="R42" i="2"/>
  <c r="P42" i="2"/>
  <c r="R41" i="2"/>
  <c r="S41" i="2" s="1"/>
  <c r="S42" i="2" s="1"/>
  <c r="P41" i="2"/>
  <c r="P39" i="2"/>
  <c r="R39" i="2" s="1"/>
  <c r="P38" i="2"/>
  <c r="R38" i="2" s="1"/>
  <c r="P37" i="2"/>
  <c r="R37" i="2" s="1"/>
  <c r="R36" i="2"/>
  <c r="S36" i="2" s="1"/>
  <c r="S37" i="2" s="1"/>
  <c r="S38" i="2" s="1"/>
  <c r="S39" i="2" s="1"/>
  <c r="P36" i="2"/>
  <c r="P34" i="2"/>
  <c r="R34" i="2" s="1"/>
  <c r="P33" i="2"/>
  <c r="R33" i="2" s="1"/>
  <c r="P32" i="2"/>
  <c r="R32" i="2" s="1"/>
  <c r="R31" i="2"/>
  <c r="S31" i="2" s="1"/>
  <c r="P31" i="2"/>
  <c r="P29" i="2"/>
  <c r="R29" i="2" s="1"/>
  <c r="P28" i="2"/>
  <c r="R28" i="2" s="1"/>
  <c r="R27" i="2"/>
  <c r="P27" i="2"/>
  <c r="R26" i="2"/>
  <c r="S26" i="2" s="1"/>
  <c r="S27" i="2" s="1"/>
  <c r="S28" i="2" s="1"/>
  <c r="P26" i="2"/>
  <c r="P24" i="2"/>
  <c r="R24" i="2" s="1"/>
  <c r="R23" i="2"/>
  <c r="P23" i="2"/>
  <c r="P22" i="2"/>
  <c r="R22" i="2" s="1"/>
  <c r="R21" i="2"/>
  <c r="S21" i="2" s="1"/>
  <c r="P21" i="2"/>
  <c r="P19" i="2"/>
  <c r="R19" i="2" s="1"/>
  <c r="P18" i="2"/>
  <c r="R18" i="2" s="1"/>
  <c r="P17" i="2"/>
  <c r="R17" i="2" s="1"/>
  <c r="S17" i="2" s="1"/>
  <c r="S18" i="2" s="1"/>
  <c r="S19" i="2" s="1"/>
  <c r="R15" i="2"/>
  <c r="P15" i="2"/>
  <c r="P14" i="2"/>
  <c r="R14" i="2" s="1"/>
  <c r="R13" i="2"/>
  <c r="P13" i="2"/>
  <c r="P12" i="2"/>
  <c r="R12" i="2" s="1"/>
  <c r="S12" i="2" s="1"/>
  <c r="S13" i="2" s="1"/>
  <c r="R10" i="2"/>
  <c r="P10" i="2"/>
  <c r="R9" i="2"/>
  <c r="P9" i="2"/>
  <c r="P8" i="2"/>
  <c r="R8" i="2" s="1"/>
  <c r="P7" i="2"/>
  <c r="R7" i="2" s="1"/>
  <c r="S7" i="2" s="1"/>
  <c r="S8" i="2" s="1"/>
  <c r="S9" i="2" s="1"/>
  <c r="S10" i="2" s="1"/>
  <c r="R5" i="2"/>
  <c r="P5" i="2"/>
  <c r="P4" i="2"/>
  <c r="R4" i="2" s="1"/>
  <c r="P3" i="2"/>
  <c r="R3" i="2" s="1"/>
  <c r="P2" i="2"/>
  <c r="R2" i="2" s="1"/>
  <c r="S2" i="2" s="1"/>
  <c r="S3" i="2" s="1"/>
  <c r="S4" i="2" s="1"/>
  <c r="S5" i="2" s="1"/>
  <c r="S29" i="2" l="1"/>
  <c r="S44" i="3"/>
  <c r="S45" i="3" s="1"/>
  <c r="S52" i="2"/>
  <c r="S53" i="2" s="1"/>
  <c r="S54" i="2" s="1"/>
  <c r="S13" i="3"/>
  <c r="S14" i="3" s="1"/>
  <c r="S35" i="3"/>
  <c r="S36" i="3" s="1"/>
  <c r="S17" i="3"/>
  <c r="S18" i="3" s="1"/>
  <c r="S43" i="2"/>
  <c r="S44" i="2" s="1"/>
  <c r="S4" i="3"/>
  <c r="S22" i="2"/>
  <c r="S23" i="2" s="1"/>
  <c r="S24" i="2" s="1"/>
  <c r="S32" i="2"/>
  <c r="S33" i="2" s="1"/>
  <c r="S34" i="2" s="1"/>
  <c r="S27" i="3"/>
  <c r="S28" i="3" s="1"/>
  <c r="S14" i="2"/>
  <c r="S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Q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SPY = Seniority Previous Year test input / starting point</t>
        </r>
      </text>
    </comment>
    <comment ref="R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SYTD is formula-driven for accrual rows; 0 for Pause/Reset rows</t>
        </r>
      </text>
    </comment>
    <comment ref="S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Expected STD cumulatively adds row SYTD within the employee flow; Reset returns 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Q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SPY = Seniority Previous Year test input / starting point</t>
        </r>
      </text>
    </comment>
    <comment ref="R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SYTD is formula-driven for accrual rows; 0 for Pause/Reset rows</t>
        </r>
      </text>
    </comment>
    <comment ref="S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Expected STD cumulatively adds row SYTD within the employee flow; Reset returns 0</t>
        </r>
      </text>
    </comment>
  </commentList>
</comments>
</file>

<file path=xl/sharedStrings.xml><?xml version="1.0" encoding="utf-8"?>
<sst xmlns="http://schemas.openxmlformats.org/spreadsheetml/2006/main" count="870" uniqueCount="162">
  <si>
    <t>S.No</t>
  </si>
  <si>
    <t>Employee ID</t>
  </si>
  <si>
    <t>Employee Status</t>
  </si>
  <si>
    <t>Positive v/s Negative Testing</t>
  </si>
  <si>
    <t>Union</t>
  </si>
  <si>
    <t>Bargaining Unit Change</t>
  </si>
  <si>
    <t>Event</t>
  </si>
  <si>
    <t>Event Reason</t>
  </si>
  <si>
    <t>Event Reason Code</t>
  </si>
  <si>
    <t>Person Scheduled Hours/day</t>
  </si>
  <si>
    <t>Annual Scheduled Hours</t>
  </si>
  <si>
    <t>Date of Hire</t>
  </si>
  <si>
    <t>Effective Date</t>
  </si>
  <si>
    <t>Engine Run Date</t>
  </si>
  <si>
    <t>Working Days</t>
  </si>
  <si>
    <t>Total Hrs Worked (Hrs * no. of days worked)</t>
  </si>
  <si>
    <t>SPY (Seniority Previous Year)</t>
  </si>
  <si>
    <t>SYTD (Seniority Current Year)</t>
  </si>
  <si>
    <t>Expected STD (After)</t>
  </si>
  <si>
    <t>Trigger Rule</t>
  </si>
  <si>
    <t>Comments</t>
  </si>
  <si>
    <t>Active</t>
  </si>
  <si>
    <t>Positive</t>
  </si>
  <si>
    <t>XXXX</t>
  </si>
  <si>
    <t>No</t>
  </si>
  <si>
    <t>Hire</t>
  </si>
  <si>
    <t>New Hire Competition</t>
  </si>
  <si>
    <t>HIRECOMP</t>
  </si>
  <si>
    <t>Start</t>
  </si>
  <si>
    <t>New hire starts accruing seniority.</t>
  </si>
  <si>
    <t>Data Change</t>
  </si>
  <si>
    <t>Benefit Update</t>
  </si>
  <si>
    <t>DataChangeBenefit</t>
  </si>
  <si>
    <t>Continue</t>
  </si>
  <si>
    <t>No impact event; accrual continues.</t>
  </si>
  <si>
    <t>Pay Rate Change</t>
  </si>
  <si>
    <t>Mandatory Increase</t>
  </si>
  <si>
    <t>Mandatory_INC</t>
  </si>
  <si>
    <t>No impact on seniority.</t>
  </si>
  <si>
    <t>Salary Adjustment</t>
  </si>
  <si>
    <t>PayRateAdj</t>
  </si>
  <si>
    <t>Initial hire.</t>
  </si>
  <si>
    <t>No impact event.</t>
  </si>
  <si>
    <t>Lay Off</t>
  </si>
  <si>
    <t>Non-Seasonal</t>
  </si>
  <si>
    <t>FurloughNonSeason</t>
  </si>
  <si>
    <t>Pause</t>
  </si>
  <si>
    <t>Seniority freezes during layoff.</t>
  </si>
  <si>
    <t>Return From Layoff</t>
  </si>
  <si>
    <t>ReturnFromLayoff</t>
  </si>
  <si>
    <t>Resume</t>
  </si>
  <si>
    <t>Resume accrual from frozen value.</t>
  </si>
  <si>
    <t>Direct Appointment</t>
  </si>
  <si>
    <t>HIREDIRECT</t>
  </si>
  <si>
    <t>Seasonal</t>
  </si>
  <si>
    <t>FurloughSeasonal</t>
  </si>
  <si>
    <t>Seasonal layoff freezes seniority.</t>
  </si>
  <si>
    <t>Return to Work</t>
  </si>
  <si>
    <t>Seasonal Recall Same position</t>
  </si>
  <si>
    <t>ReturnSeasonal</t>
  </si>
  <si>
    <t>Recall resumes accrual.</t>
  </si>
  <si>
    <t>New Hire Conversion</t>
  </si>
  <si>
    <t>HIRECONV</t>
  </si>
  <si>
    <t>Initial hire/conversion.</t>
  </si>
  <si>
    <t>Leave of Absence</t>
  </si>
  <si>
    <t>Unpaid Apprenticeship</t>
  </si>
  <si>
    <t>LOA_APPREN_UNP</t>
  </si>
  <si>
    <t>Accrual continues while allowed leave balance remains.</t>
  </si>
  <si>
    <t>LOA Return</t>
  </si>
  <si>
    <t>LOA_Return</t>
  </si>
  <si>
    <t>Resume normal accrual after leave.</t>
  </si>
  <si>
    <t>Negative</t>
  </si>
  <si>
    <t>Unpaid Electoral</t>
  </si>
  <si>
    <t>LOA_ELEC_UNP</t>
  </si>
  <si>
    <t>Accrues until annual LWOP buffer is exhausted.</t>
  </si>
  <si>
    <t>Buffer exhausted; freeze seniority.</t>
  </si>
  <si>
    <t>Return from Unpaid Leave</t>
  </si>
  <si>
    <t>LOA_RETURN_UNP</t>
  </si>
  <si>
    <t>Unpaid SLNP</t>
  </si>
  <si>
    <t>LOA_SLNP_UNP</t>
  </si>
  <si>
    <t>No accrual on unpaid SLNP.</t>
  </si>
  <si>
    <t>Accrual resumes on return.</t>
  </si>
  <si>
    <t>Master Data Correction</t>
  </si>
  <si>
    <t>DataChangeMaster</t>
  </si>
  <si>
    <t>Parental PAID</t>
  </si>
  <si>
    <t>LOA_PARENT_PAID</t>
  </si>
  <si>
    <t>Protected paid leave continues accrual.</t>
  </si>
  <si>
    <t>Return from Paid Leave</t>
  </si>
  <si>
    <t>LOA_RETURN_PAID</t>
  </si>
  <si>
    <t>Continue normal accrual on return.</t>
  </si>
  <si>
    <t>Merit Increment Approved/Withheld</t>
  </si>
  <si>
    <t>PayRateMeritInc</t>
  </si>
  <si>
    <t>Paid Workers Compensation</t>
  </si>
  <si>
    <t>LOA_WCB_PAID</t>
  </si>
  <si>
    <t>WCB leave continues accrual.</t>
  </si>
  <si>
    <t>Import</t>
  </si>
  <si>
    <t>Import/data event; no impact.</t>
  </si>
  <si>
    <t>Suspension Unpaid</t>
  </si>
  <si>
    <t>LOA_SUSP_UNP</t>
  </si>
  <si>
    <t>No accrual during unpaid suspension.</t>
  </si>
  <si>
    <t>Suspension Return</t>
  </si>
  <si>
    <t>ReturnSuspension</t>
  </si>
  <si>
    <t>Resume accrual on return.</t>
  </si>
  <si>
    <t>Long Step Increase/Withheld/Deni</t>
  </si>
  <si>
    <t>PayRateLongStep</t>
  </si>
  <si>
    <t>Daily Hours Change</t>
  </si>
  <si>
    <t>DataChangeDailyH</t>
  </si>
  <si>
    <t>Calc Change</t>
  </si>
  <si>
    <t>Accrual continues but hours basis changes.</t>
  </si>
  <si>
    <t>Work Frequency</t>
  </si>
  <si>
    <t>DataChangeWF</t>
  </si>
  <si>
    <t>Accrual continues with revised schedule.</t>
  </si>
  <si>
    <t>Transfer</t>
  </si>
  <si>
    <t>Position Management</t>
  </si>
  <si>
    <t>TransPosMgmt</t>
  </si>
  <si>
    <t>No bargaining unit change; continue accrual.</t>
  </si>
  <si>
    <t>Freeze seniority.</t>
  </si>
  <si>
    <t>Rehire</t>
  </si>
  <si>
    <t>Resume accrual after rehire.</t>
  </si>
  <si>
    <t>Inactive</t>
  </si>
  <si>
    <t>Termination</t>
  </si>
  <si>
    <t>Termination Resigned</t>
  </si>
  <si>
    <t>TERMRESIGN</t>
  </si>
  <si>
    <t>Reset</t>
  </si>
  <si>
    <t>Termination resets seniority to zero.</t>
  </si>
  <si>
    <t>Direct Service Provider</t>
  </si>
  <si>
    <t>HireDSP</t>
  </si>
  <si>
    <t>Lateral Transfer</t>
  </si>
  <si>
    <t>TransLatTrans</t>
  </si>
  <si>
    <t>No BU change; no impact.</t>
  </si>
  <si>
    <t>Employment Expiration</t>
  </si>
  <si>
    <t>TERMEMPEXP</t>
  </si>
  <si>
    <t>Existing employee; no impact event.</t>
  </si>
  <si>
    <t>Probation Extension</t>
  </si>
  <si>
    <t>Probation_EXT</t>
  </si>
  <si>
    <t>Pre-layoff accrual segment.</t>
  </si>
  <si>
    <t>Resume from frozen value.</t>
  </si>
  <si>
    <t>No impact post-return.</t>
  </si>
  <si>
    <t>Payroll Area</t>
  </si>
  <si>
    <t>DataChangePA</t>
  </si>
  <si>
    <t>Pre-seasonal-layoff accrual segment.</t>
  </si>
  <si>
    <t>Seasonal recall resumes accrual.</t>
  </si>
  <si>
    <t>Pre-leave accrual segment.</t>
  </si>
  <si>
    <t>Accrues while allowed leave balance remains.</t>
  </si>
  <si>
    <t>Pre-buffer event accrual segment.</t>
  </si>
  <si>
    <t>Resume accrual.</t>
  </si>
  <si>
    <t>Protected leave continues accrual.</t>
  </si>
  <si>
    <t>Pre-suspension accrual segment.</t>
  </si>
  <si>
    <t>Seniority freezes during unpaid suspension.</t>
  </si>
  <si>
    <t>Accrual continues with daily hours changed.</t>
  </si>
  <si>
    <t>Accrual continues with revised work frequency.</t>
  </si>
  <si>
    <t>Freeze seniority during layoff.</t>
  </si>
  <si>
    <t>Pre-transfer accrual segment.</t>
  </si>
  <si>
    <t>WFA Term/Work Frequency</t>
  </si>
  <si>
    <t>TransWFATerm</t>
  </si>
  <si>
    <t>Hours reduced; calculation basis changes.</t>
  </si>
  <si>
    <t>No seniority impact.</t>
  </si>
  <si>
    <t>Unpaid Compassionate Care Leave</t>
  </si>
  <si>
    <t>LOA_COMP_UNP</t>
  </si>
  <si>
    <t>Retirement  Normal</t>
  </si>
  <si>
    <t>TERMRETRN</t>
  </si>
  <si>
    <t>Retirement resets seniority to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</si>
</sst>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>
          <bgColor rgb="FFD9EAF7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622300</xdr:colOff>
      <xdr:row>33</xdr:row>
      <xdr:rowOff>6350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18A5822F-F7CC-9FCB-B671-0B30F708A2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622300</xdr:colOff>
      <xdr:row>33</xdr:row>
      <xdr:rowOff>6350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86F0A727-2DFC-1DC0-6FB8-9AE551FB2E8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"/>
  <sheetViews>
    <sheetView workbookViewId="0"/>
  </sheetViews>
  <sheetFormatPr defaultRowHeight="14.5" x14ac:dyDescent="0.35"/>
  <cols>
    <col min="1" max="1" width="8" customWidth="1"/>
    <col min="2" max="2" width="12" customWidth="1"/>
    <col min="3" max="3" width="14" customWidth="1"/>
    <col min="4" max="4" width="20" customWidth="1"/>
    <col min="5" max="5" width="10" customWidth="1"/>
    <col min="6" max="6" width="18" customWidth="1"/>
    <col min="7" max="7" width="16" customWidth="1"/>
    <col min="8" max="8" width="26" customWidth="1"/>
    <col min="9" max="9" width="18" customWidth="1"/>
    <col min="10" max="10" width="16" customWidth="1"/>
    <col min="11" max="11" width="18" customWidth="1"/>
    <col min="12" max="14" width="13" customWidth="1"/>
    <col min="15" max="15" width="12" customWidth="1"/>
    <col min="16" max="16" width="18" customWidth="1"/>
    <col min="17" max="18" width="12" customWidth="1"/>
    <col min="19" max="19" width="14" customWidth="1"/>
    <col min="20" max="20" width="12" customWidth="1"/>
    <col min="21" max="21" width="42" customWidth="1"/>
  </cols>
  <sheetData>
    <row r="1" spans="1:21" ht="21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1</v>
      </c>
      <c r="B2" s="2">
        <v>101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3">
        <v>8</v>
      </c>
      <c r="K2" s="4">
        <v>2080</v>
      </c>
      <c r="L2" s="5">
        <v>45292</v>
      </c>
      <c r="M2" s="5">
        <v>45292</v>
      </c>
      <c r="N2" s="5">
        <v>45657</v>
      </c>
      <c r="O2" s="4">
        <v>262</v>
      </c>
      <c r="P2" s="6">
        <f>IF(OR($T2="Pause",$T2="Reset"),"",IFERROR($O2*$J2,""))</f>
        <v>2096</v>
      </c>
      <c r="Q2" s="7">
        <v>0</v>
      </c>
      <c r="R2" s="8">
        <f>IF(OR($T2="Pause",$T2="Reset"),0,IFERROR($P2/$K2,0))</f>
        <v>1.0076923076923077</v>
      </c>
      <c r="S2" s="8">
        <f>IF($T2="Reset",0,IF($B2=$B1,$S1+$R2,$Q2+$R2))</f>
        <v>1.0076923076923077</v>
      </c>
      <c r="T2" s="2" t="s">
        <v>28</v>
      </c>
      <c r="U2" s="9" t="s">
        <v>29</v>
      </c>
    </row>
    <row r="3" spans="1:21" x14ac:dyDescent="0.35">
      <c r="A3" s="2">
        <v>1</v>
      </c>
      <c r="B3" s="2">
        <v>101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30</v>
      </c>
      <c r="H3" s="2" t="s">
        <v>31</v>
      </c>
      <c r="I3" s="2" t="s">
        <v>32</v>
      </c>
      <c r="J3" s="3">
        <v>8</v>
      </c>
      <c r="K3" s="4">
        <v>2080</v>
      </c>
      <c r="L3" s="5">
        <v>45292</v>
      </c>
      <c r="M3" s="5">
        <v>45658</v>
      </c>
      <c r="N3" s="5">
        <v>46022</v>
      </c>
      <c r="O3" s="4">
        <v>261</v>
      </c>
      <c r="P3" s="6">
        <f>IF(OR($T3="Pause",$T3="Reset"),"",IFERROR($O3*$J3,""))</f>
        <v>2088</v>
      </c>
      <c r="Q3" s="7">
        <v>0</v>
      </c>
      <c r="R3" s="8">
        <f>IF(OR($T3="Pause",$T3="Reset"),0,IFERROR($P3/$K3,0))</f>
        <v>1.0038461538461538</v>
      </c>
      <c r="S3" s="8">
        <f>IF($T3="Reset",0,IF($B3=$B2,$S2+$R3,$Q3+$R3))</f>
        <v>2.0115384615384615</v>
      </c>
      <c r="T3" s="2" t="s">
        <v>33</v>
      </c>
      <c r="U3" s="9" t="s">
        <v>34</v>
      </c>
    </row>
    <row r="4" spans="1:21" x14ac:dyDescent="0.35">
      <c r="A4" s="2">
        <v>1</v>
      </c>
      <c r="B4" s="2">
        <v>101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35</v>
      </c>
      <c r="H4" s="2" t="s">
        <v>36</v>
      </c>
      <c r="I4" s="2" t="s">
        <v>37</v>
      </c>
      <c r="J4" s="3">
        <v>8</v>
      </c>
      <c r="K4" s="4">
        <v>2080</v>
      </c>
      <c r="L4" s="5">
        <v>45292</v>
      </c>
      <c r="M4" s="5">
        <v>46023</v>
      </c>
      <c r="N4" s="5">
        <v>46203</v>
      </c>
      <c r="O4" s="4">
        <v>129</v>
      </c>
      <c r="P4" s="6">
        <f>IF(OR($T4="Pause",$T4="Reset"),"",IFERROR($O4*$J4,""))</f>
        <v>1032</v>
      </c>
      <c r="Q4" s="7">
        <v>0</v>
      </c>
      <c r="R4" s="8">
        <f>IF(OR($T4="Pause",$T4="Reset"),0,IFERROR($P4/$K4,0))</f>
        <v>0.49615384615384617</v>
      </c>
      <c r="S4" s="8">
        <f>IF($T4="Reset",0,IF($B4=$B3,$S3+$R4,$Q4+$R4))</f>
        <v>2.5076923076923077</v>
      </c>
      <c r="T4" s="2" t="s">
        <v>33</v>
      </c>
      <c r="U4" s="9" t="s">
        <v>38</v>
      </c>
    </row>
    <row r="5" spans="1:21" x14ac:dyDescent="0.35">
      <c r="A5" s="10">
        <v>1</v>
      </c>
      <c r="B5" s="10">
        <v>101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35</v>
      </c>
      <c r="H5" s="10" t="s">
        <v>39</v>
      </c>
      <c r="I5" s="10" t="s">
        <v>40</v>
      </c>
      <c r="J5" s="11">
        <v>8</v>
      </c>
      <c r="K5" s="12">
        <v>2080</v>
      </c>
      <c r="L5" s="13">
        <v>45292</v>
      </c>
      <c r="M5" s="13">
        <v>46204</v>
      </c>
      <c r="N5" s="13">
        <v>46387</v>
      </c>
      <c r="O5" s="12">
        <v>132</v>
      </c>
      <c r="P5" s="14">
        <f>IF(OR($T5="Pause",$T5="Reset"),"",IFERROR($O5*$J5,""))</f>
        <v>1056</v>
      </c>
      <c r="Q5" s="15">
        <v>0</v>
      </c>
      <c r="R5" s="16">
        <f>IF(OR($T5="Pause",$T5="Reset"),0,IFERROR($P5/$K5,0))</f>
        <v>0.50769230769230766</v>
      </c>
      <c r="S5" s="16">
        <f>IF($T5="Reset",0,IF($B5=$B4,$S4+$R5,$Q5+$R5))</f>
        <v>3.0153846153846153</v>
      </c>
      <c r="T5" s="10" t="s">
        <v>33</v>
      </c>
      <c r="U5" s="17" t="s">
        <v>38</v>
      </c>
    </row>
    <row r="7" spans="1:21" x14ac:dyDescent="0.35">
      <c r="A7" s="2">
        <v>2</v>
      </c>
      <c r="B7" s="2">
        <v>102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3">
        <v>8</v>
      </c>
      <c r="K7" s="4">
        <v>2080</v>
      </c>
      <c r="L7" s="5">
        <v>44927</v>
      </c>
      <c r="M7" s="5">
        <v>44927</v>
      </c>
      <c r="N7" s="5">
        <v>45291</v>
      </c>
      <c r="O7" s="4">
        <v>260</v>
      </c>
      <c r="P7" s="6">
        <f>IF(OR($T7="Pause",$T7="Reset"),"",IFERROR($O7*$J7,""))</f>
        <v>2080</v>
      </c>
      <c r="Q7" s="7">
        <v>0</v>
      </c>
      <c r="R7" s="8">
        <f>IF(OR($T7="Pause",$T7="Reset"),0,IFERROR($P7/$K7,0))</f>
        <v>1</v>
      </c>
      <c r="S7" s="8">
        <f>IF($T7="Reset",0,IF($B7=$B6,$S6+$R7,$Q7+$R7))</f>
        <v>1</v>
      </c>
      <c r="T7" s="2" t="s">
        <v>28</v>
      </c>
      <c r="U7" s="9" t="s">
        <v>41</v>
      </c>
    </row>
    <row r="8" spans="1:21" x14ac:dyDescent="0.35">
      <c r="A8" s="2">
        <v>2</v>
      </c>
      <c r="B8" s="2">
        <v>102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30</v>
      </c>
      <c r="H8" s="2" t="s">
        <v>31</v>
      </c>
      <c r="I8" s="2" t="s">
        <v>32</v>
      </c>
      <c r="J8" s="3">
        <v>8</v>
      </c>
      <c r="K8" s="4">
        <v>2080</v>
      </c>
      <c r="L8" s="5">
        <v>44927</v>
      </c>
      <c r="M8" s="5">
        <v>45292</v>
      </c>
      <c r="N8" s="5">
        <v>45657</v>
      </c>
      <c r="O8" s="4">
        <v>262</v>
      </c>
      <c r="P8" s="6">
        <f>IF(OR($T8="Pause",$T8="Reset"),"",IFERROR($O8*$J8,""))</f>
        <v>2096</v>
      </c>
      <c r="Q8" s="7">
        <v>0</v>
      </c>
      <c r="R8" s="8">
        <f>IF(OR($T8="Pause",$T8="Reset"),0,IFERROR($P8/$K8,0))</f>
        <v>1.0076923076923077</v>
      </c>
      <c r="S8" s="8">
        <f>IF($T8="Reset",0,IF($B8=$B7,$S7+$R8,$Q8+$R8))</f>
        <v>2.0076923076923077</v>
      </c>
      <c r="T8" s="2" t="s">
        <v>33</v>
      </c>
      <c r="U8" s="9" t="s">
        <v>42</v>
      </c>
    </row>
    <row r="9" spans="1:21" x14ac:dyDescent="0.35">
      <c r="A9" s="2">
        <v>2</v>
      </c>
      <c r="B9" s="2">
        <v>102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43</v>
      </c>
      <c r="H9" s="2" t="s">
        <v>44</v>
      </c>
      <c r="I9" s="2" t="s">
        <v>45</v>
      </c>
      <c r="J9" s="3">
        <v>8</v>
      </c>
      <c r="K9" s="4">
        <v>2080</v>
      </c>
      <c r="L9" s="5">
        <v>44927</v>
      </c>
      <c r="M9" s="5">
        <v>45658</v>
      </c>
      <c r="N9" s="5">
        <v>45747</v>
      </c>
      <c r="O9" s="4"/>
      <c r="P9" s="6" t="str">
        <f>IF(OR($T9="Pause",$T9="Reset"),"",IFERROR($O9*$J9,""))</f>
        <v/>
      </c>
      <c r="Q9" s="7">
        <v>0</v>
      </c>
      <c r="R9" s="8">
        <f>IF(OR($T9="Pause",$T9="Reset"),0,IFERROR($P9/$K9,0))</f>
        <v>0</v>
      </c>
      <c r="S9" s="8">
        <f>IF($T9="Reset",0,IF($B9=$B8,$S8+$R9,$Q9+$R9))</f>
        <v>2.0076923076923077</v>
      </c>
      <c r="T9" s="2" t="s">
        <v>46</v>
      </c>
      <c r="U9" s="9" t="s">
        <v>47</v>
      </c>
    </row>
    <row r="10" spans="1:21" x14ac:dyDescent="0.35">
      <c r="A10" s="10">
        <v>2</v>
      </c>
      <c r="B10" s="10">
        <v>102</v>
      </c>
      <c r="C10" s="10" t="s">
        <v>21</v>
      </c>
      <c r="D10" s="10" t="s">
        <v>22</v>
      </c>
      <c r="E10" s="10" t="s">
        <v>23</v>
      </c>
      <c r="F10" s="10" t="s">
        <v>24</v>
      </c>
      <c r="G10" s="10" t="s">
        <v>30</v>
      </c>
      <c r="H10" s="10" t="s">
        <v>48</v>
      </c>
      <c r="I10" s="10" t="s">
        <v>49</v>
      </c>
      <c r="J10" s="11">
        <v>8</v>
      </c>
      <c r="K10" s="12">
        <v>2080</v>
      </c>
      <c r="L10" s="13">
        <v>44927</v>
      </c>
      <c r="M10" s="13">
        <v>45748</v>
      </c>
      <c r="N10" s="13">
        <v>46022</v>
      </c>
      <c r="O10" s="12">
        <v>197</v>
      </c>
      <c r="P10" s="14">
        <f>IF(OR($T10="Pause",$T10="Reset"),"",IFERROR($O10*$J10,""))</f>
        <v>1576</v>
      </c>
      <c r="Q10" s="15">
        <v>0</v>
      </c>
      <c r="R10" s="16">
        <f>IF(OR($T10="Pause",$T10="Reset"),0,IFERROR($P10/$K10,0))</f>
        <v>0.75769230769230766</v>
      </c>
      <c r="S10" s="16">
        <f>IF($T10="Reset",0,IF($B10=$B9,$S9+$R10,$Q10+$R10))</f>
        <v>2.7653846153846153</v>
      </c>
      <c r="T10" s="10" t="s">
        <v>50</v>
      </c>
      <c r="U10" s="17" t="s">
        <v>51</v>
      </c>
    </row>
    <row r="12" spans="1:21" x14ac:dyDescent="0.35">
      <c r="A12" s="2">
        <v>3</v>
      </c>
      <c r="B12" s="2">
        <v>103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52</v>
      </c>
      <c r="I12" s="2" t="s">
        <v>53</v>
      </c>
      <c r="J12" s="3">
        <v>8</v>
      </c>
      <c r="K12" s="4">
        <v>2080</v>
      </c>
      <c r="L12" s="5">
        <v>45299</v>
      </c>
      <c r="M12" s="5">
        <v>45299</v>
      </c>
      <c r="N12" s="5">
        <v>45657</v>
      </c>
      <c r="O12" s="4">
        <v>257</v>
      </c>
      <c r="P12" s="6">
        <f>IF(OR($T12="Pause",$T12="Reset"),"",IFERROR($O12*$J12,""))</f>
        <v>2056</v>
      </c>
      <c r="Q12" s="7">
        <v>0</v>
      </c>
      <c r="R12" s="8">
        <f>IF(OR($T12="Pause",$T12="Reset"),0,IFERROR($P12/$K12,0))</f>
        <v>0.9884615384615385</v>
      </c>
      <c r="S12" s="8">
        <f>IF($T12="Reset",0,IF($B12=$B11,$S11+$R12,$Q12+$R12))</f>
        <v>0.9884615384615385</v>
      </c>
      <c r="T12" s="2" t="s">
        <v>28</v>
      </c>
      <c r="U12" s="9" t="s">
        <v>41</v>
      </c>
    </row>
    <row r="13" spans="1:21" x14ac:dyDescent="0.35">
      <c r="A13" s="2">
        <v>3</v>
      </c>
      <c r="B13" s="2">
        <v>103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43</v>
      </c>
      <c r="H13" s="2" t="s">
        <v>54</v>
      </c>
      <c r="I13" s="2" t="s">
        <v>55</v>
      </c>
      <c r="J13" s="3">
        <v>8</v>
      </c>
      <c r="K13" s="4">
        <v>2080</v>
      </c>
      <c r="L13" s="5">
        <v>45299</v>
      </c>
      <c r="M13" s="5">
        <v>45658</v>
      </c>
      <c r="N13" s="5">
        <v>45747</v>
      </c>
      <c r="O13" s="4"/>
      <c r="P13" s="6" t="str">
        <f>IF(OR($T13="Pause",$T13="Reset"),"",IFERROR($O13*$J13,""))</f>
        <v/>
      </c>
      <c r="Q13" s="7">
        <v>0</v>
      </c>
      <c r="R13" s="8">
        <f>IF(OR($T13="Pause",$T13="Reset"),0,IFERROR($P13/$K13,0))</f>
        <v>0</v>
      </c>
      <c r="S13" s="8">
        <f>IF($T13="Reset",0,IF($B13=$B12,$S12+$R13,$Q13+$R13))</f>
        <v>0.9884615384615385</v>
      </c>
      <c r="T13" s="2" t="s">
        <v>46</v>
      </c>
      <c r="U13" s="9" t="s">
        <v>56</v>
      </c>
    </row>
    <row r="14" spans="1:21" x14ac:dyDescent="0.35">
      <c r="A14" s="2">
        <v>3</v>
      </c>
      <c r="B14" s="2">
        <v>103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57</v>
      </c>
      <c r="H14" s="2" t="s">
        <v>58</v>
      </c>
      <c r="I14" s="2" t="s">
        <v>59</v>
      </c>
      <c r="J14" s="3">
        <v>8</v>
      </c>
      <c r="K14" s="4">
        <v>2080</v>
      </c>
      <c r="L14" s="5">
        <v>45299</v>
      </c>
      <c r="M14" s="5">
        <v>45748</v>
      </c>
      <c r="N14" s="5">
        <v>45930</v>
      </c>
      <c r="O14" s="4">
        <v>131</v>
      </c>
      <c r="P14" s="6">
        <f>IF(OR($T14="Pause",$T14="Reset"),"",IFERROR($O14*$J14,""))</f>
        <v>1048</v>
      </c>
      <c r="Q14" s="7">
        <v>0</v>
      </c>
      <c r="R14" s="8">
        <f>IF(OR($T14="Pause",$T14="Reset"),0,IFERROR($P14/$K14,0))</f>
        <v>0.50384615384615383</v>
      </c>
      <c r="S14" s="8">
        <f>IF($T14="Reset",0,IF($B14=$B13,$S13+$R14,$Q14+$R14))</f>
        <v>1.4923076923076923</v>
      </c>
      <c r="T14" s="2" t="s">
        <v>50</v>
      </c>
      <c r="U14" s="9" t="s">
        <v>60</v>
      </c>
    </row>
    <row r="15" spans="1:21" x14ac:dyDescent="0.35">
      <c r="A15" s="10">
        <v>3</v>
      </c>
      <c r="B15" s="10">
        <v>103</v>
      </c>
      <c r="C15" s="10" t="s">
        <v>21</v>
      </c>
      <c r="D15" s="10" t="s">
        <v>22</v>
      </c>
      <c r="E15" s="10" t="s">
        <v>23</v>
      </c>
      <c r="F15" s="10" t="s">
        <v>24</v>
      </c>
      <c r="G15" s="10" t="s">
        <v>35</v>
      </c>
      <c r="H15" s="10" t="s">
        <v>39</v>
      </c>
      <c r="I15" s="10" t="s">
        <v>40</v>
      </c>
      <c r="J15" s="11">
        <v>8</v>
      </c>
      <c r="K15" s="12">
        <v>2080</v>
      </c>
      <c r="L15" s="13">
        <v>45299</v>
      </c>
      <c r="M15" s="13">
        <v>45931</v>
      </c>
      <c r="N15" s="13">
        <v>46022</v>
      </c>
      <c r="O15" s="12">
        <v>66</v>
      </c>
      <c r="P15" s="14">
        <f>IF(OR($T15="Pause",$T15="Reset"),"",IFERROR($O15*$J15,""))</f>
        <v>528</v>
      </c>
      <c r="Q15" s="15">
        <v>0</v>
      </c>
      <c r="R15" s="16">
        <f>IF(OR($T15="Pause",$T15="Reset"),0,IFERROR($P15/$K15,0))</f>
        <v>0.25384615384615383</v>
      </c>
      <c r="S15" s="16">
        <f>IF($T15="Reset",0,IF($B15=$B14,$S14+$R15,$Q15+$R15))</f>
        <v>1.7461538461538462</v>
      </c>
      <c r="T15" s="10" t="s">
        <v>33</v>
      </c>
      <c r="U15" s="17" t="s">
        <v>42</v>
      </c>
    </row>
    <row r="17" spans="1:21" x14ac:dyDescent="0.35">
      <c r="A17" s="2">
        <v>4</v>
      </c>
      <c r="B17" s="2">
        <v>104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61</v>
      </c>
      <c r="I17" s="2" t="s">
        <v>62</v>
      </c>
      <c r="J17" s="3">
        <v>8</v>
      </c>
      <c r="K17" s="4">
        <v>2080</v>
      </c>
      <c r="L17" s="5">
        <v>45719</v>
      </c>
      <c r="M17" s="5">
        <v>45719</v>
      </c>
      <c r="N17" s="5">
        <v>46022</v>
      </c>
      <c r="O17" s="4">
        <v>218</v>
      </c>
      <c r="P17" s="6">
        <f>IF(OR($T17="Pause",$T17="Reset"),"",IFERROR($O17*$J17,""))</f>
        <v>1744</v>
      </c>
      <c r="Q17" s="7">
        <v>0</v>
      </c>
      <c r="R17" s="8">
        <f>IF(OR($T17="Pause",$T17="Reset"),0,IFERROR($P17/$K17,0))</f>
        <v>0.83846153846153848</v>
      </c>
      <c r="S17" s="8">
        <f>IF($T17="Reset",0,IF($B17=$B16,$S16+$R17,$Q17+$R17))</f>
        <v>0.83846153846153848</v>
      </c>
      <c r="T17" s="2" t="s">
        <v>28</v>
      </c>
      <c r="U17" s="9" t="s">
        <v>63</v>
      </c>
    </row>
    <row r="18" spans="1:21" ht="29" x14ac:dyDescent="0.35">
      <c r="A18" s="2">
        <v>4</v>
      </c>
      <c r="B18" s="2">
        <v>104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64</v>
      </c>
      <c r="H18" s="2" t="s">
        <v>65</v>
      </c>
      <c r="I18" s="2" t="s">
        <v>66</v>
      </c>
      <c r="J18" s="3">
        <v>8</v>
      </c>
      <c r="K18" s="4">
        <v>2080</v>
      </c>
      <c r="L18" s="5">
        <v>45719</v>
      </c>
      <c r="M18" s="5">
        <v>46023</v>
      </c>
      <c r="N18" s="5">
        <v>46265</v>
      </c>
      <c r="O18" s="4">
        <v>173</v>
      </c>
      <c r="P18" s="6">
        <f>IF(OR($T18="Pause",$T18="Reset"),"",IFERROR($O18*$J18,""))</f>
        <v>1384</v>
      </c>
      <c r="Q18" s="7">
        <v>0</v>
      </c>
      <c r="R18" s="8">
        <f>IF(OR($T18="Pause",$T18="Reset"),0,IFERROR($P18/$K18,0))</f>
        <v>0.66538461538461535</v>
      </c>
      <c r="S18" s="8">
        <f>IF($T18="Reset",0,IF($B18=$B17,$S17+$R18,$Q18+$R18))</f>
        <v>1.5038461538461538</v>
      </c>
      <c r="T18" s="2" t="s">
        <v>33</v>
      </c>
      <c r="U18" s="9" t="s">
        <v>67</v>
      </c>
    </row>
    <row r="19" spans="1:21" x14ac:dyDescent="0.35">
      <c r="A19" s="10">
        <v>4</v>
      </c>
      <c r="B19" s="10">
        <v>104</v>
      </c>
      <c r="C19" s="10" t="s">
        <v>21</v>
      </c>
      <c r="D19" s="10" t="s">
        <v>22</v>
      </c>
      <c r="E19" s="10" t="s">
        <v>23</v>
      </c>
      <c r="F19" s="10" t="s">
        <v>24</v>
      </c>
      <c r="G19" s="10" t="s">
        <v>57</v>
      </c>
      <c r="H19" s="10" t="s">
        <v>68</v>
      </c>
      <c r="I19" s="10" t="s">
        <v>69</v>
      </c>
      <c r="J19" s="11">
        <v>8</v>
      </c>
      <c r="K19" s="12">
        <v>2080</v>
      </c>
      <c r="L19" s="13">
        <v>45719</v>
      </c>
      <c r="M19" s="13">
        <v>46266</v>
      </c>
      <c r="N19" s="13">
        <v>46387</v>
      </c>
      <c r="O19" s="12">
        <v>88</v>
      </c>
      <c r="P19" s="14">
        <f>IF(OR($T19="Pause",$T19="Reset"),"",IFERROR($O19*$J19,""))</f>
        <v>704</v>
      </c>
      <c r="Q19" s="15">
        <v>0</v>
      </c>
      <c r="R19" s="16">
        <f>IF(OR($T19="Pause",$T19="Reset"),0,IFERROR($P19/$K19,0))</f>
        <v>0.33846153846153848</v>
      </c>
      <c r="S19" s="16">
        <f>IF($T19="Reset",0,IF($B19=$B18,$S18+$R19,$Q19+$R19))</f>
        <v>1.8423076923076924</v>
      </c>
      <c r="T19" s="10" t="s">
        <v>50</v>
      </c>
      <c r="U19" s="17" t="s">
        <v>70</v>
      </c>
    </row>
    <row r="21" spans="1:21" x14ac:dyDescent="0.35">
      <c r="A21" s="2">
        <v>5</v>
      </c>
      <c r="B21" s="2">
        <v>105</v>
      </c>
      <c r="C21" s="2" t="s">
        <v>21</v>
      </c>
      <c r="D21" s="2" t="s">
        <v>71</v>
      </c>
      <c r="E21" s="2" t="s">
        <v>23</v>
      </c>
      <c r="F21" s="2" t="s">
        <v>24</v>
      </c>
      <c r="G21" s="2" t="s">
        <v>25</v>
      </c>
      <c r="H21" s="2" t="s">
        <v>26</v>
      </c>
      <c r="I21" s="2" t="s">
        <v>27</v>
      </c>
      <c r="J21" s="3">
        <v>8</v>
      </c>
      <c r="K21" s="4">
        <v>2080</v>
      </c>
      <c r="L21" s="5">
        <v>45292</v>
      </c>
      <c r="M21" s="5">
        <v>45292</v>
      </c>
      <c r="N21" s="5">
        <v>45657</v>
      </c>
      <c r="O21" s="4">
        <v>262</v>
      </c>
      <c r="P21" s="6">
        <f>IF(OR($T21="Pause",$T21="Reset"),"",IFERROR($O21*$J21,""))</f>
        <v>2096</v>
      </c>
      <c r="Q21" s="7">
        <v>0</v>
      </c>
      <c r="R21" s="8">
        <f>IF(OR($T21="Pause",$T21="Reset"),0,IFERROR($P21/$K21,0))</f>
        <v>1.0076923076923077</v>
      </c>
      <c r="S21" s="8">
        <f>IF($T21="Reset",0,IF($B21=$B20,$S20+$R21,$Q21+$R21))</f>
        <v>1.0076923076923077</v>
      </c>
      <c r="T21" s="2" t="s">
        <v>28</v>
      </c>
      <c r="U21" s="9" t="s">
        <v>41</v>
      </c>
    </row>
    <row r="22" spans="1:21" x14ac:dyDescent="0.35">
      <c r="A22" s="2">
        <v>5</v>
      </c>
      <c r="B22" s="2">
        <v>105</v>
      </c>
      <c r="C22" s="2" t="s">
        <v>21</v>
      </c>
      <c r="D22" s="2" t="s">
        <v>71</v>
      </c>
      <c r="E22" s="2" t="s">
        <v>23</v>
      </c>
      <c r="F22" s="2" t="s">
        <v>24</v>
      </c>
      <c r="G22" s="2" t="s">
        <v>64</v>
      </c>
      <c r="H22" s="2" t="s">
        <v>72</v>
      </c>
      <c r="I22" s="2" t="s">
        <v>73</v>
      </c>
      <c r="J22" s="3">
        <v>8</v>
      </c>
      <c r="K22" s="4">
        <v>2080</v>
      </c>
      <c r="L22" s="5">
        <v>45292</v>
      </c>
      <c r="M22" s="5">
        <v>45658</v>
      </c>
      <c r="N22" s="5">
        <v>45739</v>
      </c>
      <c r="O22" s="4">
        <v>58</v>
      </c>
      <c r="P22" s="6">
        <f>IF(OR($T22="Pause",$T22="Reset"),"",IFERROR($O22*$J22,""))</f>
        <v>464</v>
      </c>
      <c r="Q22" s="7">
        <v>0</v>
      </c>
      <c r="R22" s="8">
        <f>IF(OR($T22="Pause",$T22="Reset"),0,IFERROR($P22/$K22,0))</f>
        <v>0.22307692307692309</v>
      </c>
      <c r="S22" s="8">
        <f>IF($T22="Reset",0,IF($B22=$B21,$S21+$R22,$Q22+$R22))</f>
        <v>1.2307692307692308</v>
      </c>
      <c r="T22" s="2" t="s">
        <v>33</v>
      </c>
      <c r="U22" s="9" t="s">
        <v>74</v>
      </c>
    </row>
    <row r="23" spans="1:21" x14ac:dyDescent="0.35">
      <c r="A23" s="2">
        <v>5</v>
      </c>
      <c r="B23" s="2">
        <v>105</v>
      </c>
      <c r="C23" s="2" t="s">
        <v>21</v>
      </c>
      <c r="D23" s="2" t="s">
        <v>71</v>
      </c>
      <c r="E23" s="2" t="s">
        <v>23</v>
      </c>
      <c r="F23" s="2" t="s">
        <v>24</v>
      </c>
      <c r="G23" s="2" t="s">
        <v>64</v>
      </c>
      <c r="H23" s="2" t="s">
        <v>72</v>
      </c>
      <c r="I23" s="2" t="s">
        <v>73</v>
      </c>
      <c r="J23" s="3">
        <v>8</v>
      </c>
      <c r="K23" s="4">
        <v>2080</v>
      </c>
      <c r="L23" s="5">
        <v>45292</v>
      </c>
      <c r="M23" s="5">
        <v>45740</v>
      </c>
      <c r="N23" s="5">
        <v>45838</v>
      </c>
      <c r="O23" s="4"/>
      <c r="P23" s="6" t="str">
        <f>IF(OR($T23="Pause",$T23="Reset"),"",IFERROR($O23*$J23,""))</f>
        <v/>
      </c>
      <c r="Q23" s="7">
        <v>0</v>
      </c>
      <c r="R23" s="8">
        <f>IF(OR($T23="Pause",$T23="Reset"),0,IFERROR($P23/$K23,0))</f>
        <v>0</v>
      </c>
      <c r="S23" s="8">
        <f>IF($T23="Reset",0,IF($B23=$B22,$S22+$R23,$Q23+$R23))</f>
        <v>1.2307692307692308</v>
      </c>
      <c r="T23" s="2" t="s">
        <v>46</v>
      </c>
      <c r="U23" s="9" t="s">
        <v>75</v>
      </c>
    </row>
    <row r="24" spans="1:21" x14ac:dyDescent="0.35">
      <c r="A24" s="10">
        <v>5</v>
      </c>
      <c r="B24" s="10">
        <v>105</v>
      </c>
      <c r="C24" s="10" t="s">
        <v>21</v>
      </c>
      <c r="D24" s="10" t="s">
        <v>71</v>
      </c>
      <c r="E24" s="10" t="s">
        <v>23</v>
      </c>
      <c r="F24" s="10" t="s">
        <v>24</v>
      </c>
      <c r="G24" s="10" t="s">
        <v>57</v>
      </c>
      <c r="H24" s="10" t="s">
        <v>76</v>
      </c>
      <c r="I24" s="10" t="s">
        <v>77</v>
      </c>
      <c r="J24" s="11">
        <v>8</v>
      </c>
      <c r="K24" s="12">
        <v>2080</v>
      </c>
      <c r="L24" s="13">
        <v>45292</v>
      </c>
      <c r="M24" s="13">
        <v>45839</v>
      </c>
      <c r="N24" s="13">
        <v>46022</v>
      </c>
      <c r="O24" s="12">
        <v>132</v>
      </c>
      <c r="P24" s="14">
        <f>IF(OR($T24="Pause",$T24="Reset"),"",IFERROR($O24*$J24,""))</f>
        <v>1056</v>
      </c>
      <c r="Q24" s="15">
        <v>0</v>
      </c>
      <c r="R24" s="16">
        <f>IF(OR($T24="Pause",$T24="Reset"),0,IFERROR($P24/$K24,0))</f>
        <v>0.50769230769230766</v>
      </c>
      <c r="S24" s="16">
        <f>IF($T24="Reset",0,IF($B24=$B23,$S23+$R24,$Q24+$R24))</f>
        <v>1.7384615384615385</v>
      </c>
      <c r="T24" s="10" t="s">
        <v>50</v>
      </c>
      <c r="U24" s="17" t="s">
        <v>51</v>
      </c>
    </row>
    <row r="26" spans="1:21" x14ac:dyDescent="0.35">
      <c r="A26" s="2">
        <v>6</v>
      </c>
      <c r="B26" s="2">
        <v>106</v>
      </c>
      <c r="C26" s="2" t="s">
        <v>21</v>
      </c>
      <c r="D26" s="2" t="s">
        <v>22</v>
      </c>
      <c r="E26" s="2" t="s">
        <v>23</v>
      </c>
      <c r="F26" s="2" t="s">
        <v>24</v>
      </c>
      <c r="G26" s="2" t="s">
        <v>25</v>
      </c>
      <c r="H26" s="2" t="s">
        <v>26</v>
      </c>
      <c r="I26" s="2" t="s">
        <v>27</v>
      </c>
      <c r="J26" s="3">
        <v>8</v>
      </c>
      <c r="K26" s="4">
        <v>2080</v>
      </c>
      <c r="L26" s="5">
        <v>45292</v>
      </c>
      <c r="M26" s="5">
        <v>45292</v>
      </c>
      <c r="N26" s="5">
        <v>45657</v>
      </c>
      <c r="O26" s="4">
        <v>262</v>
      </c>
      <c r="P26" s="6">
        <f>IF(OR($T26="Pause",$T26="Reset"),"",IFERROR($O26*$J26,""))</f>
        <v>2096</v>
      </c>
      <c r="Q26" s="7">
        <v>0</v>
      </c>
      <c r="R26" s="8">
        <f>IF(OR($T26="Pause",$T26="Reset"),0,IFERROR($P26/$K26,0))</f>
        <v>1.0076923076923077</v>
      </c>
      <c r="S26" s="8">
        <f>IF($T26="Reset",0,IF($B26=$B25,$S25+$R26,$Q26+$R26))</f>
        <v>1.0076923076923077</v>
      </c>
      <c r="T26" s="2" t="s">
        <v>28</v>
      </c>
      <c r="U26" s="9" t="s">
        <v>41</v>
      </c>
    </row>
    <row r="27" spans="1:21" x14ac:dyDescent="0.35">
      <c r="A27" s="2">
        <v>6</v>
      </c>
      <c r="B27" s="2">
        <v>106</v>
      </c>
      <c r="C27" s="2" t="s">
        <v>21</v>
      </c>
      <c r="D27" s="2" t="s">
        <v>22</v>
      </c>
      <c r="E27" s="2" t="s">
        <v>23</v>
      </c>
      <c r="F27" s="2" t="s">
        <v>24</v>
      </c>
      <c r="G27" s="2" t="s">
        <v>64</v>
      </c>
      <c r="H27" s="2" t="s">
        <v>78</v>
      </c>
      <c r="I27" s="2" t="s">
        <v>79</v>
      </c>
      <c r="J27" s="3">
        <v>8</v>
      </c>
      <c r="K27" s="4">
        <v>2080</v>
      </c>
      <c r="L27" s="5">
        <v>45292</v>
      </c>
      <c r="M27" s="5">
        <v>45658</v>
      </c>
      <c r="N27" s="5">
        <v>45808</v>
      </c>
      <c r="O27" s="4"/>
      <c r="P27" s="6" t="str">
        <f>IF(OR($T27="Pause",$T27="Reset"),"",IFERROR($O27*$J27,""))</f>
        <v/>
      </c>
      <c r="Q27" s="7">
        <v>0</v>
      </c>
      <c r="R27" s="8">
        <f>IF(OR($T27="Pause",$T27="Reset"),0,IFERROR($P27/$K27,0))</f>
        <v>0</v>
      </c>
      <c r="S27" s="8">
        <f>IF($T27="Reset",0,IF($B27=$B26,$S26+$R27,$Q27+$R27))</f>
        <v>1.0076923076923077</v>
      </c>
      <c r="T27" s="2" t="s">
        <v>46</v>
      </c>
      <c r="U27" s="9" t="s">
        <v>80</v>
      </c>
    </row>
    <row r="28" spans="1:21" x14ac:dyDescent="0.35">
      <c r="A28" s="2">
        <v>6</v>
      </c>
      <c r="B28" s="2">
        <v>106</v>
      </c>
      <c r="C28" s="2" t="s">
        <v>21</v>
      </c>
      <c r="D28" s="2" t="s">
        <v>22</v>
      </c>
      <c r="E28" s="2" t="s">
        <v>23</v>
      </c>
      <c r="F28" s="2" t="s">
        <v>24</v>
      </c>
      <c r="G28" s="2" t="s">
        <v>57</v>
      </c>
      <c r="H28" s="2" t="s">
        <v>68</v>
      </c>
      <c r="I28" s="2" t="s">
        <v>69</v>
      </c>
      <c r="J28" s="3">
        <v>8</v>
      </c>
      <c r="K28" s="4">
        <v>2080</v>
      </c>
      <c r="L28" s="5">
        <v>45292</v>
      </c>
      <c r="M28" s="5">
        <v>45809</v>
      </c>
      <c r="N28" s="5">
        <v>45961</v>
      </c>
      <c r="O28" s="4">
        <v>110</v>
      </c>
      <c r="P28" s="6">
        <f>IF(OR($T28="Pause",$T28="Reset"),"",IFERROR($O28*$J28,""))</f>
        <v>880</v>
      </c>
      <c r="Q28" s="7">
        <v>0</v>
      </c>
      <c r="R28" s="8">
        <f>IF(OR($T28="Pause",$T28="Reset"),0,IFERROR($P28/$K28,0))</f>
        <v>0.42307692307692307</v>
      </c>
      <c r="S28" s="8">
        <f>IF($T28="Reset",0,IF($B28=$B27,$S27+$R28,$Q28+$R28))</f>
        <v>1.4307692307692308</v>
      </c>
      <c r="T28" s="2" t="s">
        <v>50</v>
      </c>
      <c r="U28" s="9" t="s">
        <v>81</v>
      </c>
    </row>
    <row r="29" spans="1:21" x14ac:dyDescent="0.35">
      <c r="A29" s="10">
        <v>6</v>
      </c>
      <c r="B29" s="10">
        <v>106</v>
      </c>
      <c r="C29" s="10" t="s">
        <v>21</v>
      </c>
      <c r="D29" s="10" t="s">
        <v>22</v>
      </c>
      <c r="E29" s="10" t="s">
        <v>23</v>
      </c>
      <c r="F29" s="10" t="s">
        <v>24</v>
      </c>
      <c r="G29" s="10" t="s">
        <v>30</v>
      </c>
      <c r="H29" s="10" t="s">
        <v>82</v>
      </c>
      <c r="I29" s="10" t="s">
        <v>83</v>
      </c>
      <c r="J29" s="11">
        <v>8</v>
      </c>
      <c r="K29" s="12">
        <v>2080</v>
      </c>
      <c r="L29" s="13">
        <v>45292</v>
      </c>
      <c r="M29" s="13">
        <v>45962</v>
      </c>
      <c r="N29" s="13">
        <v>46022</v>
      </c>
      <c r="O29" s="12">
        <v>43</v>
      </c>
      <c r="P29" s="14">
        <f>IF(OR($T29="Pause",$T29="Reset"),"",IFERROR($O29*$J29,""))</f>
        <v>344</v>
      </c>
      <c r="Q29" s="15">
        <v>0</v>
      </c>
      <c r="R29" s="16">
        <f>IF(OR($T29="Pause",$T29="Reset"),0,IFERROR($P29/$K29,0))</f>
        <v>0.16538461538461538</v>
      </c>
      <c r="S29" s="16">
        <f>IF($T29="Reset",0,IF($B29=$B28,$S28+$R29,$Q29+$R29))</f>
        <v>1.5961538461538463</v>
      </c>
      <c r="T29" s="10" t="s">
        <v>33</v>
      </c>
      <c r="U29" s="17" t="s">
        <v>42</v>
      </c>
    </row>
    <row r="31" spans="1:21" x14ac:dyDescent="0.35">
      <c r="A31" s="2">
        <v>7</v>
      </c>
      <c r="B31" s="2">
        <v>107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25</v>
      </c>
      <c r="H31" s="2" t="s">
        <v>52</v>
      </c>
      <c r="I31" s="2" t="s">
        <v>53</v>
      </c>
      <c r="J31" s="3">
        <v>8</v>
      </c>
      <c r="K31" s="4">
        <v>2080</v>
      </c>
      <c r="L31" s="5">
        <v>44928</v>
      </c>
      <c r="M31" s="5">
        <v>44928</v>
      </c>
      <c r="N31" s="5">
        <v>45291</v>
      </c>
      <c r="O31" s="4">
        <v>260</v>
      </c>
      <c r="P31" s="6">
        <f>IF(OR($T31="Pause",$T31="Reset"),"",IFERROR($O31*$J31,""))</f>
        <v>2080</v>
      </c>
      <c r="Q31" s="7">
        <v>0</v>
      </c>
      <c r="R31" s="8">
        <f>IF(OR($T31="Pause",$T31="Reset"),0,IFERROR($P31/$K31,0))</f>
        <v>1</v>
      </c>
      <c r="S31" s="8">
        <f>IF($T31="Reset",0,IF($B31=$B30,$S30+$R31,$Q31+$R31))</f>
        <v>1</v>
      </c>
      <c r="T31" s="2" t="s">
        <v>28</v>
      </c>
      <c r="U31" s="9" t="s">
        <v>41</v>
      </c>
    </row>
    <row r="32" spans="1:21" x14ac:dyDescent="0.35">
      <c r="A32" s="2">
        <v>7</v>
      </c>
      <c r="B32" s="2">
        <v>107</v>
      </c>
      <c r="C32" s="2" t="s">
        <v>21</v>
      </c>
      <c r="D32" s="2" t="s">
        <v>22</v>
      </c>
      <c r="E32" s="2" t="s">
        <v>23</v>
      </c>
      <c r="F32" s="2" t="s">
        <v>24</v>
      </c>
      <c r="G32" s="2" t="s">
        <v>64</v>
      </c>
      <c r="H32" s="2" t="s">
        <v>84</v>
      </c>
      <c r="I32" s="2" t="s">
        <v>85</v>
      </c>
      <c r="J32" s="3">
        <v>8</v>
      </c>
      <c r="K32" s="4">
        <v>2080</v>
      </c>
      <c r="L32" s="5">
        <v>44928</v>
      </c>
      <c r="M32" s="5">
        <v>45292</v>
      </c>
      <c r="N32" s="5">
        <v>45473</v>
      </c>
      <c r="O32" s="4">
        <v>130</v>
      </c>
      <c r="P32" s="6">
        <f>IF(OR($T32="Pause",$T32="Reset"),"",IFERROR($O32*$J32,""))</f>
        <v>1040</v>
      </c>
      <c r="Q32" s="7">
        <v>0</v>
      </c>
      <c r="R32" s="8">
        <f>IF(OR($T32="Pause",$T32="Reset"),0,IFERROR($P32/$K32,0))</f>
        <v>0.5</v>
      </c>
      <c r="S32" s="8">
        <f>IF($T32="Reset",0,IF($B32=$B31,$S31+$R32,$Q32+$R32))</f>
        <v>1.5</v>
      </c>
      <c r="T32" s="2" t="s">
        <v>33</v>
      </c>
      <c r="U32" s="9" t="s">
        <v>86</v>
      </c>
    </row>
    <row r="33" spans="1:21" x14ac:dyDescent="0.35">
      <c r="A33" s="2">
        <v>7</v>
      </c>
      <c r="B33" s="2">
        <v>107</v>
      </c>
      <c r="C33" s="2" t="s">
        <v>21</v>
      </c>
      <c r="D33" s="2" t="s">
        <v>22</v>
      </c>
      <c r="E33" s="2" t="s">
        <v>23</v>
      </c>
      <c r="F33" s="2" t="s">
        <v>24</v>
      </c>
      <c r="G33" s="2" t="s">
        <v>57</v>
      </c>
      <c r="H33" s="2" t="s">
        <v>87</v>
      </c>
      <c r="I33" s="2" t="s">
        <v>88</v>
      </c>
      <c r="J33" s="3">
        <v>8</v>
      </c>
      <c r="K33" s="4">
        <v>2080</v>
      </c>
      <c r="L33" s="5">
        <v>44928</v>
      </c>
      <c r="M33" s="5">
        <v>45474</v>
      </c>
      <c r="N33" s="5">
        <v>45565</v>
      </c>
      <c r="O33" s="4">
        <v>66</v>
      </c>
      <c r="P33" s="6">
        <f>IF(OR($T33="Pause",$T33="Reset"),"",IFERROR($O33*$J33,""))</f>
        <v>528</v>
      </c>
      <c r="Q33" s="7">
        <v>0</v>
      </c>
      <c r="R33" s="8">
        <f>IF(OR($T33="Pause",$T33="Reset"),0,IFERROR($P33/$K33,0))</f>
        <v>0.25384615384615383</v>
      </c>
      <c r="S33" s="8">
        <f>IF($T33="Reset",0,IF($B33=$B32,$S32+$R33,$Q33+$R33))</f>
        <v>1.7538461538461538</v>
      </c>
      <c r="T33" s="2" t="s">
        <v>33</v>
      </c>
      <c r="U33" s="9" t="s">
        <v>89</v>
      </c>
    </row>
    <row r="34" spans="1:21" ht="29" x14ac:dyDescent="0.35">
      <c r="A34" s="10">
        <v>7</v>
      </c>
      <c r="B34" s="10">
        <v>107</v>
      </c>
      <c r="C34" s="10" t="s">
        <v>21</v>
      </c>
      <c r="D34" s="10" t="s">
        <v>22</v>
      </c>
      <c r="E34" s="10" t="s">
        <v>23</v>
      </c>
      <c r="F34" s="10" t="s">
        <v>24</v>
      </c>
      <c r="G34" s="10" t="s">
        <v>35</v>
      </c>
      <c r="H34" s="10" t="s">
        <v>90</v>
      </c>
      <c r="I34" s="10" t="s">
        <v>91</v>
      </c>
      <c r="J34" s="11">
        <v>8</v>
      </c>
      <c r="K34" s="12">
        <v>2080</v>
      </c>
      <c r="L34" s="13">
        <v>44928</v>
      </c>
      <c r="M34" s="13">
        <v>45566</v>
      </c>
      <c r="N34" s="13">
        <v>45657</v>
      </c>
      <c r="O34" s="12">
        <v>66</v>
      </c>
      <c r="P34" s="14">
        <f>IF(OR($T34="Pause",$T34="Reset"),"",IFERROR($O34*$J34,""))</f>
        <v>528</v>
      </c>
      <c r="Q34" s="15">
        <v>0</v>
      </c>
      <c r="R34" s="16">
        <f>IF(OR($T34="Pause",$T34="Reset"),0,IFERROR($P34/$K34,0))</f>
        <v>0.25384615384615383</v>
      </c>
      <c r="S34" s="16">
        <f>IF($T34="Reset",0,IF($B34=$B33,$S33+$R34,$Q34+$R34))</f>
        <v>2.0076923076923077</v>
      </c>
      <c r="T34" s="10" t="s">
        <v>33</v>
      </c>
      <c r="U34" s="17" t="s">
        <v>42</v>
      </c>
    </row>
    <row r="36" spans="1:21" x14ac:dyDescent="0.35">
      <c r="A36" s="2">
        <v>8</v>
      </c>
      <c r="B36" s="2">
        <v>108</v>
      </c>
      <c r="C36" s="2" t="s">
        <v>21</v>
      </c>
      <c r="D36" s="2" t="s">
        <v>22</v>
      </c>
      <c r="E36" s="2" t="s">
        <v>23</v>
      </c>
      <c r="F36" s="2" t="s">
        <v>24</v>
      </c>
      <c r="G36" s="2" t="s">
        <v>25</v>
      </c>
      <c r="H36" s="2" t="s">
        <v>26</v>
      </c>
      <c r="I36" s="2" t="s">
        <v>27</v>
      </c>
      <c r="J36" s="3">
        <v>8</v>
      </c>
      <c r="K36" s="4">
        <v>2080</v>
      </c>
      <c r="L36" s="5">
        <v>45292</v>
      </c>
      <c r="M36" s="5">
        <v>45292</v>
      </c>
      <c r="N36" s="5">
        <v>45657</v>
      </c>
      <c r="O36" s="4">
        <v>262</v>
      </c>
      <c r="P36" s="6">
        <f>IF(OR($T36="Pause",$T36="Reset"),"",IFERROR($O36*$J36,""))</f>
        <v>2096</v>
      </c>
      <c r="Q36" s="7">
        <v>0</v>
      </c>
      <c r="R36" s="8">
        <f>IF(OR($T36="Pause",$T36="Reset"),0,IFERROR($P36/$K36,0))</f>
        <v>1.0076923076923077</v>
      </c>
      <c r="S36" s="8">
        <f>IF($T36="Reset",0,IF($B36=$B35,$S35+$R36,$Q36+$R36))</f>
        <v>1.0076923076923077</v>
      </c>
      <c r="T36" s="2" t="s">
        <v>28</v>
      </c>
      <c r="U36" s="9" t="s">
        <v>41</v>
      </c>
    </row>
    <row r="37" spans="1:21" x14ac:dyDescent="0.35">
      <c r="A37" s="2">
        <v>8</v>
      </c>
      <c r="B37" s="2">
        <v>108</v>
      </c>
      <c r="C37" s="2" t="s">
        <v>21</v>
      </c>
      <c r="D37" s="2" t="s">
        <v>22</v>
      </c>
      <c r="E37" s="2" t="s">
        <v>23</v>
      </c>
      <c r="F37" s="2" t="s">
        <v>24</v>
      </c>
      <c r="G37" s="2" t="s">
        <v>64</v>
      </c>
      <c r="H37" s="2" t="s">
        <v>92</v>
      </c>
      <c r="I37" s="2" t="s">
        <v>93</v>
      </c>
      <c r="J37" s="3">
        <v>8</v>
      </c>
      <c r="K37" s="4">
        <v>2080</v>
      </c>
      <c r="L37" s="5">
        <v>45292</v>
      </c>
      <c r="M37" s="5">
        <v>45689</v>
      </c>
      <c r="N37" s="5">
        <v>45900</v>
      </c>
      <c r="O37" s="4">
        <v>150</v>
      </c>
      <c r="P37" s="6">
        <f>IF(OR($T37="Pause",$T37="Reset"),"",IFERROR($O37*$J37,""))</f>
        <v>1200</v>
      </c>
      <c r="Q37" s="7">
        <v>0</v>
      </c>
      <c r="R37" s="8">
        <f>IF(OR($T37="Pause",$T37="Reset"),0,IFERROR($P37/$K37,0))</f>
        <v>0.57692307692307687</v>
      </c>
      <c r="S37" s="8">
        <f>IF($T37="Reset",0,IF($B37=$B36,$S36+$R37,$Q37+$R37))</f>
        <v>1.5846153846153845</v>
      </c>
      <c r="T37" s="2" t="s">
        <v>33</v>
      </c>
      <c r="U37" s="9" t="s">
        <v>94</v>
      </c>
    </row>
    <row r="38" spans="1:21" x14ac:dyDescent="0.35">
      <c r="A38" s="2">
        <v>8</v>
      </c>
      <c r="B38" s="2">
        <v>108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30</v>
      </c>
      <c r="H38" s="2" t="s">
        <v>95</v>
      </c>
      <c r="I38" s="2" t="s">
        <v>95</v>
      </c>
      <c r="J38" s="3">
        <v>8</v>
      </c>
      <c r="K38" s="4">
        <v>2080</v>
      </c>
      <c r="L38" s="5">
        <v>45292</v>
      </c>
      <c r="M38" s="5">
        <v>45901</v>
      </c>
      <c r="N38" s="5">
        <v>45961</v>
      </c>
      <c r="O38" s="4">
        <v>45</v>
      </c>
      <c r="P38" s="6">
        <f>IF(OR($T38="Pause",$T38="Reset"),"",IFERROR($O38*$J38,""))</f>
        <v>360</v>
      </c>
      <c r="Q38" s="7">
        <v>0</v>
      </c>
      <c r="R38" s="8">
        <f>IF(OR($T38="Pause",$T38="Reset"),0,IFERROR($P38/$K38,0))</f>
        <v>0.17307692307692307</v>
      </c>
      <c r="S38" s="8">
        <f>IF($T38="Reset",0,IF($B38=$B37,$S37+$R38,$Q38+$R38))</f>
        <v>1.7576923076923077</v>
      </c>
      <c r="T38" s="2" t="s">
        <v>33</v>
      </c>
      <c r="U38" s="9" t="s">
        <v>96</v>
      </c>
    </row>
    <row r="39" spans="1:21" x14ac:dyDescent="0.35">
      <c r="A39" s="10">
        <v>8</v>
      </c>
      <c r="B39" s="10">
        <v>108</v>
      </c>
      <c r="C39" s="10" t="s">
        <v>21</v>
      </c>
      <c r="D39" s="10" t="s">
        <v>22</v>
      </c>
      <c r="E39" s="10" t="s">
        <v>23</v>
      </c>
      <c r="F39" s="10" t="s">
        <v>24</v>
      </c>
      <c r="G39" s="10" t="s">
        <v>35</v>
      </c>
      <c r="H39" s="10" t="s">
        <v>39</v>
      </c>
      <c r="I39" s="10" t="s">
        <v>40</v>
      </c>
      <c r="J39" s="11">
        <v>8</v>
      </c>
      <c r="K39" s="12">
        <v>2080</v>
      </c>
      <c r="L39" s="13">
        <v>45292</v>
      </c>
      <c r="M39" s="13">
        <v>45962</v>
      </c>
      <c r="N39" s="13">
        <v>46022</v>
      </c>
      <c r="O39" s="12">
        <v>43</v>
      </c>
      <c r="P39" s="14">
        <f>IF(OR($T39="Pause",$T39="Reset"),"",IFERROR($O39*$J39,""))</f>
        <v>344</v>
      </c>
      <c r="Q39" s="15">
        <v>0</v>
      </c>
      <c r="R39" s="16">
        <f>IF(OR($T39="Pause",$T39="Reset"),0,IFERROR($P39/$K39,0))</f>
        <v>0.16538461538461538</v>
      </c>
      <c r="S39" s="16">
        <f>IF($T39="Reset",0,IF($B39=$B38,$S38+$R39,$Q39+$R39))</f>
        <v>1.9230769230769231</v>
      </c>
      <c r="T39" s="10" t="s">
        <v>33</v>
      </c>
      <c r="U39" s="17" t="s">
        <v>42</v>
      </c>
    </row>
    <row r="41" spans="1:21" x14ac:dyDescent="0.35">
      <c r="A41" s="2">
        <v>9</v>
      </c>
      <c r="B41" s="2">
        <v>109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25</v>
      </c>
      <c r="H41" s="2" t="s">
        <v>26</v>
      </c>
      <c r="I41" s="2" t="s">
        <v>27</v>
      </c>
      <c r="J41" s="3">
        <v>8</v>
      </c>
      <c r="K41" s="4">
        <v>2080</v>
      </c>
      <c r="L41" s="5">
        <v>44928</v>
      </c>
      <c r="M41" s="5">
        <v>44928</v>
      </c>
      <c r="N41" s="5">
        <v>45291</v>
      </c>
      <c r="O41" s="4">
        <v>260</v>
      </c>
      <c r="P41" s="6">
        <f>IF(OR($T41="Pause",$T41="Reset"),"",IFERROR($O41*$J41,""))</f>
        <v>2080</v>
      </c>
      <c r="Q41" s="7">
        <v>0</v>
      </c>
      <c r="R41" s="8">
        <f>IF(OR($T41="Pause",$T41="Reset"),0,IFERROR($P41/$K41,0))</f>
        <v>1</v>
      </c>
      <c r="S41" s="8">
        <f>IF($T41="Reset",0,IF($B41=$B40,$S40+$R41,$Q41+$R41))</f>
        <v>1</v>
      </c>
      <c r="T41" s="2" t="s">
        <v>28</v>
      </c>
      <c r="U41" s="9" t="s">
        <v>41</v>
      </c>
    </row>
    <row r="42" spans="1:21" x14ac:dyDescent="0.35">
      <c r="A42" s="2">
        <v>9</v>
      </c>
      <c r="B42" s="2">
        <v>109</v>
      </c>
      <c r="C42" s="2" t="s">
        <v>21</v>
      </c>
      <c r="D42" s="2" t="s">
        <v>22</v>
      </c>
      <c r="E42" s="2" t="s">
        <v>23</v>
      </c>
      <c r="F42" s="2" t="s">
        <v>24</v>
      </c>
      <c r="G42" s="2" t="s">
        <v>64</v>
      </c>
      <c r="H42" s="2" t="s">
        <v>97</v>
      </c>
      <c r="I42" s="2" t="s">
        <v>98</v>
      </c>
      <c r="J42" s="3">
        <v>8</v>
      </c>
      <c r="K42" s="4">
        <v>2080</v>
      </c>
      <c r="L42" s="5">
        <v>44928</v>
      </c>
      <c r="M42" s="5">
        <v>45383</v>
      </c>
      <c r="N42" s="5">
        <v>45473</v>
      </c>
      <c r="O42" s="4"/>
      <c r="P42" s="6" t="str">
        <f>IF(OR($T42="Pause",$T42="Reset"),"",IFERROR($O42*$J42,""))</f>
        <v/>
      </c>
      <c r="Q42" s="7">
        <v>0</v>
      </c>
      <c r="R42" s="8">
        <f>IF(OR($T42="Pause",$T42="Reset"),0,IFERROR($P42/$K42,0))</f>
        <v>0</v>
      </c>
      <c r="S42" s="8">
        <f>IF($T42="Reset",0,IF($B42=$B41,$S41+$R42,$Q42+$R42))</f>
        <v>1</v>
      </c>
      <c r="T42" s="2" t="s">
        <v>46</v>
      </c>
      <c r="U42" s="9" t="s">
        <v>99</v>
      </c>
    </row>
    <row r="43" spans="1:21" x14ac:dyDescent="0.35">
      <c r="A43" s="2">
        <v>9</v>
      </c>
      <c r="B43" s="2">
        <v>109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57</v>
      </c>
      <c r="H43" s="2" t="s">
        <v>100</v>
      </c>
      <c r="I43" s="2" t="s">
        <v>101</v>
      </c>
      <c r="J43" s="3">
        <v>8</v>
      </c>
      <c r="K43" s="4">
        <v>2080</v>
      </c>
      <c r="L43" s="5">
        <v>44928</v>
      </c>
      <c r="M43" s="5">
        <v>45474</v>
      </c>
      <c r="N43" s="5">
        <v>45565</v>
      </c>
      <c r="O43" s="4">
        <v>66</v>
      </c>
      <c r="P43" s="6">
        <f>IF(OR($T43="Pause",$T43="Reset"),"",IFERROR($O43*$J43,""))</f>
        <v>528</v>
      </c>
      <c r="Q43" s="7">
        <v>0</v>
      </c>
      <c r="R43" s="8">
        <f>IF(OR($T43="Pause",$T43="Reset"),0,IFERROR($P43/$K43,0))</f>
        <v>0.25384615384615383</v>
      </c>
      <c r="S43" s="8">
        <f>IF($T43="Reset",0,IF($B43=$B42,$S42+$R43,$Q43+$R43))</f>
        <v>1.2538461538461538</v>
      </c>
      <c r="T43" s="2" t="s">
        <v>50</v>
      </c>
      <c r="U43" s="9" t="s">
        <v>102</v>
      </c>
    </row>
    <row r="44" spans="1:21" ht="29" x14ac:dyDescent="0.35">
      <c r="A44" s="10">
        <v>9</v>
      </c>
      <c r="B44" s="10">
        <v>109</v>
      </c>
      <c r="C44" s="10" t="s">
        <v>21</v>
      </c>
      <c r="D44" s="10" t="s">
        <v>22</v>
      </c>
      <c r="E44" s="10" t="s">
        <v>23</v>
      </c>
      <c r="F44" s="10" t="s">
        <v>24</v>
      </c>
      <c r="G44" s="10" t="s">
        <v>35</v>
      </c>
      <c r="H44" s="10" t="s">
        <v>103</v>
      </c>
      <c r="I44" s="10" t="s">
        <v>104</v>
      </c>
      <c r="J44" s="11">
        <v>8</v>
      </c>
      <c r="K44" s="12">
        <v>2080</v>
      </c>
      <c r="L44" s="13">
        <v>44928</v>
      </c>
      <c r="M44" s="13">
        <v>45566</v>
      </c>
      <c r="N44" s="13">
        <v>45657</v>
      </c>
      <c r="O44" s="12">
        <v>66</v>
      </c>
      <c r="P44" s="14">
        <f>IF(OR($T44="Pause",$T44="Reset"),"",IFERROR($O44*$J44,""))</f>
        <v>528</v>
      </c>
      <c r="Q44" s="15">
        <v>0</v>
      </c>
      <c r="R44" s="16">
        <f>IF(OR($T44="Pause",$T44="Reset"),0,IFERROR($P44/$K44,0))</f>
        <v>0.25384615384615383</v>
      </c>
      <c r="S44" s="16">
        <f>IF($T44="Reset",0,IF($B44=$B43,$S43+$R44,$Q44+$R44))</f>
        <v>1.5076923076923077</v>
      </c>
      <c r="T44" s="10" t="s">
        <v>33</v>
      </c>
      <c r="U44" s="17" t="s">
        <v>42</v>
      </c>
    </row>
    <row r="46" spans="1:21" x14ac:dyDescent="0.35">
      <c r="A46" s="2">
        <v>10</v>
      </c>
      <c r="B46" s="2">
        <v>110</v>
      </c>
      <c r="C46" s="2" t="s">
        <v>21</v>
      </c>
      <c r="D46" s="2" t="s">
        <v>22</v>
      </c>
      <c r="E46" s="2" t="s">
        <v>23</v>
      </c>
      <c r="F46" s="2" t="s">
        <v>24</v>
      </c>
      <c r="G46" s="2" t="s">
        <v>25</v>
      </c>
      <c r="H46" s="2" t="s">
        <v>26</v>
      </c>
      <c r="I46" s="2" t="s">
        <v>27</v>
      </c>
      <c r="J46" s="3">
        <v>8</v>
      </c>
      <c r="K46" s="4">
        <v>2080</v>
      </c>
      <c r="L46" s="5">
        <v>45658</v>
      </c>
      <c r="M46" s="5">
        <v>45658</v>
      </c>
      <c r="N46" s="5">
        <v>46022</v>
      </c>
      <c r="O46" s="4">
        <v>261</v>
      </c>
      <c r="P46" s="6">
        <f>IF(OR($T46="Pause",$T46="Reset"),"",IFERROR($O46*$J46,""))</f>
        <v>2088</v>
      </c>
      <c r="Q46" s="7">
        <v>0</v>
      </c>
      <c r="R46" s="8">
        <f>IF(OR($T46="Pause",$T46="Reset"),0,IFERROR($P46/$K46,0))</f>
        <v>1.0038461538461538</v>
      </c>
      <c r="S46" s="8">
        <f>IF($T46="Reset",0,IF($B46=$B45,$S45+$R46,$Q46+$R46))</f>
        <v>1.0038461538461538</v>
      </c>
      <c r="T46" s="2" t="s">
        <v>28</v>
      </c>
      <c r="U46" s="9" t="s">
        <v>41</v>
      </c>
    </row>
    <row r="47" spans="1:21" x14ac:dyDescent="0.35">
      <c r="A47" s="2">
        <v>10</v>
      </c>
      <c r="B47" s="2">
        <v>110</v>
      </c>
      <c r="C47" s="2" t="s">
        <v>21</v>
      </c>
      <c r="D47" s="2" t="s">
        <v>22</v>
      </c>
      <c r="E47" s="2" t="s">
        <v>23</v>
      </c>
      <c r="F47" s="2" t="s">
        <v>24</v>
      </c>
      <c r="G47" s="2" t="s">
        <v>30</v>
      </c>
      <c r="H47" s="2" t="s">
        <v>105</v>
      </c>
      <c r="I47" s="2" t="s">
        <v>106</v>
      </c>
      <c r="J47" s="3">
        <v>6</v>
      </c>
      <c r="K47" s="4">
        <v>1560</v>
      </c>
      <c r="L47" s="5">
        <v>45658</v>
      </c>
      <c r="M47" s="5">
        <v>46023</v>
      </c>
      <c r="N47" s="5">
        <v>46142</v>
      </c>
      <c r="O47" s="4">
        <v>86</v>
      </c>
      <c r="P47" s="6">
        <f>IF(OR($T47="Pause",$T47="Reset"),"",IFERROR($O47*$J47,""))</f>
        <v>516</v>
      </c>
      <c r="Q47" s="7">
        <v>0</v>
      </c>
      <c r="R47" s="8">
        <f>IF(OR($T47="Pause",$T47="Reset"),0,IFERROR($P47/$K47,0))</f>
        <v>0.33076923076923076</v>
      </c>
      <c r="S47" s="8">
        <f>IF($T47="Reset",0,IF($B47=$B46,$S46+$R47,$Q47+$R47))</f>
        <v>1.3346153846153845</v>
      </c>
      <c r="T47" s="2" t="s">
        <v>107</v>
      </c>
      <c r="U47" s="9" t="s">
        <v>108</v>
      </c>
    </row>
    <row r="48" spans="1:21" x14ac:dyDescent="0.35">
      <c r="A48" s="2">
        <v>10</v>
      </c>
      <c r="B48" s="2">
        <v>110</v>
      </c>
      <c r="C48" s="2" t="s">
        <v>21</v>
      </c>
      <c r="D48" s="2" t="s">
        <v>22</v>
      </c>
      <c r="E48" s="2" t="s">
        <v>23</v>
      </c>
      <c r="F48" s="2" t="s">
        <v>24</v>
      </c>
      <c r="G48" s="2" t="s">
        <v>30</v>
      </c>
      <c r="H48" s="2" t="s">
        <v>109</v>
      </c>
      <c r="I48" s="2" t="s">
        <v>110</v>
      </c>
      <c r="J48" s="3">
        <v>7</v>
      </c>
      <c r="K48" s="4">
        <v>1820</v>
      </c>
      <c r="L48" s="5">
        <v>45658</v>
      </c>
      <c r="M48" s="5">
        <v>46143</v>
      </c>
      <c r="N48" s="5">
        <v>46265</v>
      </c>
      <c r="O48" s="4">
        <v>87</v>
      </c>
      <c r="P48" s="6">
        <f>IF(OR($T48="Pause",$T48="Reset"),"",IFERROR($O48*$J48,""))</f>
        <v>609</v>
      </c>
      <c r="Q48" s="7">
        <v>0</v>
      </c>
      <c r="R48" s="8">
        <f>IF(OR($T48="Pause",$T48="Reset"),0,IFERROR($P48/$K48,0))</f>
        <v>0.33461538461538459</v>
      </c>
      <c r="S48" s="8">
        <f>IF($T48="Reset",0,IF($B48=$B47,$S47+$R48,$Q48+$R48))</f>
        <v>1.6692307692307691</v>
      </c>
      <c r="T48" s="2" t="s">
        <v>107</v>
      </c>
      <c r="U48" s="9" t="s">
        <v>111</v>
      </c>
    </row>
    <row r="49" spans="1:21" x14ac:dyDescent="0.35">
      <c r="A49" s="10">
        <v>10</v>
      </c>
      <c r="B49" s="10">
        <v>110</v>
      </c>
      <c r="C49" s="10" t="s">
        <v>21</v>
      </c>
      <c r="D49" s="10" t="s">
        <v>22</v>
      </c>
      <c r="E49" s="10" t="s">
        <v>23</v>
      </c>
      <c r="F49" s="10" t="s">
        <v>24</v>
      </c>
      <c r="G49" s="10" t="s">
        <v>112</v>
      </c>
      <c r="H49" s="10" t="s">
        <v>113</v>
      </c>
      <c r="I49" s="10" t="s">
        <v>114</v>
      </c>
      <c r="J49" s="11">
        <v>7</v>
      </c>
      <c r="K49" s="12">
        <v>1820</v>
      </c>
      <c r="L49" s="13">
        <v>45658</v>
      </c>
      <c r="M49" s="13">
        <v>46266</v>
      </c>
      <c r="N49" s="13">
        <v>46387</v>
      </c>
      <c r="O49" s="12">
        <v>88</v>
      </c>
      <c r="P49" s="14">
        <f>IF(OR($T49="Pause",$T49="Reset"),"",IFERROR($O49*$J49,""))</f>
        <v>616</v>
      </c>
      <c r="Q49" s="15">
        <v>0</v>
      </c>
      <c r="R49" s="16">
        <f>IF(OR($T49="Pause",$T49="Reset"),0,IFERROR($P49/$K49,0))</f>
        <v>0.33846153846153848</v>
      </c>
      <c r="S49" s="16">
        <f>IF($T49="Reset",0,IF($B49=$B48,$S48+$R49,$Q49+$R49))</f>
        <v>2.0076923076923077</v>
      </c>
      <c r="T49" s="10" t="s">
        <v>33</v>
      </c>
      <c r="U49" s="17" t="s">
        <v>115</v>
      </c>
    </row>
    <row r="51" spans="1:21" x14ac:dyDescent="0.35">
      <c r="A51" s="2">
        <v>11</v>
      </c>
      <c r="B51" s="2">
        <v>111</v>
      </c>
      <c r="C51" s="2" t="s">
        <v>21</v>
      </c>
      <c r="D51" s="2" t="s">
        <v>22</v>
      </c>
      <c r="E51" s="2" t="s">
        <v>23</v>
      </c>
      <c r="F51" s="2" t="s">
        <v>24</v>
      </c>
      <c r="G51" s="2" t="s">
        <v>25</v>
      </c>
      <c r="H51" s="2" t="s">
        <v>26</v>
      </c>
      <c r="I51" s="2" t="s">
        <v>27</v>
      </c>
      <c r="J51" s="3">
        <v>8</v>
      </c>
      <c r="K51" s="4">
        <v>2080</v>
      </c>
      <c r="L51" s="5">
        <v>44928</v>
      </c>
      <c r="M51" s="5">
        <v>44928</v>
      </c>
      <c r="N51" s="5">
        <v>45291</v>
      </c>
      <c r="O51" s="4">
        <v>260</v>
      </c>
      <c r="P51" s="6">
        <f>IF(OR($T51="Pause",$T51="Reset"),"",IFERROR($O51*$J51,""))</f>
        <v>2080</v>
      </c>
      <c r="Q51" s="7">
        <v>0</v>
      </c>
      <c r="R51" s="8">
        <f>IF(OR($T51="Pause",$T51="Reset"),0,IFERROR($P51/$K51,0))</f>
        <v>1</v>
      </c>
      <c r="S51" s="8">
        <f>IF($T51="Reset",0,IF($B51=$B50,$S50+$R51,$Q51+$R51))</f>
        <v>1</v>
      </c>
      <c r="T51" s="2" t="s">
        <v>28</v>
      </c>
      <c r="U51" s="9" t="s">
        <v>41</v>
      </c>
    </row>
    <row r="52" spans="1:21" x14ac:dyDescent="0.35">
      <c r="A52" s="2">
        <v>11</v>
      </c>
      <c r="B52" s="2">
        <v>111</v>
      </c>
      <c r="C52" s="2" t="s">
        <v>21</v>
      </c>
      <c r="D52" s="2" t="s">
        <v>22</v>
      </c>
      <c r="E52" s="2" t="s">
        <v>23</v>
      </c>
      <c r="F52" s="2" t="s">
        <v>24</v>
      </c>
      <c r="G52" s="2" t="s">
        <v>30</v>
      </c>
      <c r="H52" s="2" t="s">
        <v>31</v>
      </c>
      <c r="I52" s="2" t="s">
        <v>32</v>
      </c>
      <c r="J52" s="3">
        <v>8</v>
      </c>
      <c r="K52" s="4">
        <v>2080</v>
      </c>
      <c r="L52" s="5">
        <v>44928</v>
      </c>
      <c r="M52" s="5">
        <v>45292</v>
      </c>
      <c r="N52" s="5">
        <v>45657</v>
      </c>
      <c r="O52" s="4">
        <v>262</v>
      </c>
      <c r="P52" s="6">
        <f>IF(OR($T52="Pause",$T52="Reset"),"",IFERROR($O52*$J52,""))</f>
        <v>2096</v>
      </c>
      <c r="Q52" s="7">
        <v>0</v>
      </c>
      <c r="R52" s="8">
        <f>IF(OR($T52="Pause",$T52="Reset"),0,IFERROR($P52/$K52,0))</f>
        <v>1.0076923076923077</v>
      </c>
      <c r="S52" s="8">
        <f>IF($T52="Reset",0,IF($B52=$B51,$S51+$R52,$Q52+$R52))</f>
        <v>2.0076923076923077</v>
      </c>
      <c r="T52" s="2" t="s">
        <v>33</v>
      </c>
      <c r="U52" s="9" t="s">
        <v>42</v>
      </c>
    </row>
    <row r="53" spans="1:21" x14ac:dyDescent="0.35">
      <c r="A53" s="2">
        <v>11</v>
      </c>
      <c r="B53" s="2">
        <v>111</v>
      </c>
      <c r="C53" s="2" t="s">
        <v>21</v>
      </c>
      <c r="D53" s="2" t="s">
        <v>22</v>
      </c>
      <c r="E53" s="2" t="s">
        <v>23</v>
      </c>
      <c r="F53" s="2" t="s">
        <v>24</v>
      </c>
      <c r="G53" s="2" t="s">
        <v>43</v>
      </c>
      <c r="H53" s="2" t="s">
        <v>44</v>
      </c>
      <c r="I53" s="2" t="s">
        <v>45</v>
      </c>
      <c r="J53" s="3">
        <v>8</v>
      </c>
      <c r="K53" s="4">
        <v>2080</v>
      </c>
      <c r="L53" s="5">
        <v>44928</v>
      </c>
      <c r="M53" s="5">
        <v>45658</v>
      </c>
      <c r="N53" s="5">
        <v>45838</v>
      </c>
      <c r="O53" s="4"/>
      <c r="P53" s="6" t="str">
        <f>IF(OR($T53="Pause",$T53="Reset"),"",IFERROR($O53*$J53,""))</f>
        <v/>
      </c>
      <c r="Q53" s="7">
        <v>0</v>
      </c>
      <c r="R53" s="8">
        <f>IF(OR($T53="Pause",$T53="Reset"),0,IFERROR($P53/$K53,0))</f>
        <v>0</v>
      </c>
      <c r="S53" s="8">
        <f>IF($T53="Reset",0,IF($B53=$B52,$S52+$R53,$Q53+$R53))</f>
        <v>2.0076923076923077</v>
      </c>
      <c r="T53" s="2" t="s">
        <v>46</v>
      </c>
      <c r="U53" s="9" t="s">
        <v>116</v>
      </c>
    </row>
    <row r="54" spans="1:21" x14ac:dyDescent="0.35">
      <c r="A54" s="2">
        <v>11</v>
      </c>
      <c r="B54" s="2">
        <v>111</v>
      </c>
      <c r="C54" s="2" t="s">
        <v>21</v>
      </c>
      <c r="D54" s="2" t="s">
        <v>22</v>
      </c>
      <c r="E54" s="2" t="s">
        <v>23</v>
      </c>
      <c r="F54" s="2" t="s">
        <v>24</v>
      </c>
      <c r="G54" s="2" t="s">
        <v>117</v>
      </c>
      <c r="H54" s="2" t="s">
        <v>117</v>
      </c>
      <c r="I54" s="2" t="s">
        <v>117</v>
      </c>
      <c r="J54" s="3">
        <v>8</v>
      </c>
      <c r="K54" s="4">
        <v>2080</v>
      </c>
      <c r="L54" s="5">
        <v>44928</v>
      </c>
      <c r="M54" s="5">
        <v>45839</v>
      </c>
      <c r="N54" s="5">
        <v>45991</v>
      </c>
      <c r="O54" s="4">
        <v>109</v>
      </c>
      <c r="P54" s="6">
        <f>IF(OR($T54="Pause",$T54="Reset"),"",IFERROR($O54*$J54,""))</f>
        <v>872</v>
      </c>
      <c r="Q54" s="7">
        <v>0</v>
      </c>
      <c r="R54" s="8">
        <f>IF(OR($T54="Pause",$T54="Reset"),0,IFERROR($P54/$K54,0))</f>
        <v>0.41923076923076924</v>
      </c>
      <c r="S54" s="8">
        <f>IF($T54="Reset",0,IF($B54=$B53,$S53+$R54,$Q54+$R54))</f>
        <v>2.4269230769230767</v>
      </c>
      <c r="T54" s="2" t="s">
        <v>50</v>
      </c>
      <c r="U54" s="9" t="s">
        <v>118</v>
      </c>
    </row>
    <row r="55" spans="1:21" x14ac:dyDescent="0.35">
      <c r="A55" s="10">
        <v>11</v>
      </c>
      <c r="B55" s="10">
        <v>111</v>
      </c>
      <c r="C55" s="10" t="s">
        <v>119</v>
      </c>
      <c r="D55" s="10" t="s">
        <v>22</v>
      </c>
      <c r="E55" s="10" t="s">
        <v>23</v>
      </c>
      <c r="F55" s="10" t="s">
        <v>24</v>
      </c>
      <c r="G55" s="10" t="s">
        <v>120</v>
      </c>
      <c r="H55" s="10" t="s">
        <v>121</v>
      </c>
      <c r="I55" s="10" t="s">
        <v>122</v>
      </c>
      <c r="J55" s="11">
        <v>8</v>
      </c>
      <c r="K55" s="12">
        <v>2080</v>
      </c>
      <c r="L55" s="13">
        <v>44928</v>
      </c>
      <c r="M55" s="13">
        <v>45992</v>
      </c>
      <c r="N55" s="13">
        <v>46022</v>
      </c>
      <c r="O55" s="12"/>
      <c r="P55" s="14" t="str">
        <f>IF(OR($T55="Pause",$T55="Reset"),"",IFERROR($O55*$J55,""))</f>
        <v/>
      </c>
      <c r="Q55" s="15">
        <v>0</v>
      </c>
      <c r="R55" s="16">
        <f>IF(OR($T55="Pause",$T55="Reset"),0,IFERROR($P55/$K55,0))</f>
        <v>0</v>
      </c>
      <c r="S55" s="16">
        <f>IF($T55="Reset",0,IF($B55=$B54,$S54+$R55,$Q55+$R55))</f>
        <v>0</v>
      </c>
      <c r="T55" s="10" t="s">
        <v>123</v>
      </c>
      <c r="U55" s="17" t="s">
        <v>124</v>
      </c>
    </row>
    <row r="57" spans="1:21" x14ac:dyDescent="0.35">
      <c r="A57" s="2">
        <v>12</v>
      </c>
      <c r="B57" s="2">
        <v>112</v>
      </c>
      <c r="C57" s="2" t="s">
        <v>21</v>
      </c>
      <c r="D57" s="2" t="s">
        <v>22</v>
      </c>
      <c r="E57" s="2" t="s">
        <v>23</v>
      </c>
      <c r="F57" s="2" t="s">
        <v>24</v>
      </c>
      <c r="G57" s="2" t="s">
        <v>25</v>
      </c>
      <c r="H57" s="2" t="s">
        <v>125</v>
      </c>
      <c r="I57" s="2" t="s">
        <v>126</v>
      </c>
      <c r="J57" s="3">
        <v>8</v>
      </c>
      <c r="K57" s="4">
        <v>2080</v>
      </c>
      <c r="L57" s="5">
        <v>45293</v>
      </c>
      <c r="M57" s="5">
        <v>45293</v>
      </c>
      <c r="N57" s="5">
        <v>45657</v>
      </c>
      <c r="O57" s="4">
        <v>261</v>
      </c>
      <c r="P57" s="6">
        <f>IF(OR($T57="Pause",$T57="Reset"),"",IFERROR($O57*$J57,""))</f>
        <v>2088</v>
      </c>
      <c r="Q57" s="7">
        <v>0</v>
      </c>
      <c r="R57" s="8">
        <f>IF(OR($T57="Pause",$T57="Reset"),0,IFERROR($P57/$K57,0))</f>
        <v>1.0038461538461538</v>
      </c>
      <c r="S57" s="8">
        <f>IF($T57="Reset",0,IF($B57=$B56,$S56+$R57,$Q57+$R57))</f>
        <v>1.0038461538461538</v>
      </c>
      <c r="T57" s="2" t="s">
        <v>28</v>
      </c>
      <c r="U57" s="9" t="s">
        <v>41</v>
      </c>
    </row>
    <row r="58" spans="1:21" x14ac:dyDescent="0.35">
      <c r="A58" s="2">
        <v>12</v>
      </c>
      <c r="B58" s="2">
        <v>112</v>
      </c>
      <c r="C58" s="2" t="s">
        <v>21</v>
      </c>
      <c r="D58" s="2" t="s">
        <v>22</v>
      </c>
      <c r="E58" s="2" t="s">
        <v>23</v>
      </c>
      <c r="F58" s="2" t="s">
        <v>24</v>
      </c>
      <c r="G58" s="2" t="s">
        <v>112</v>
      </c>
      <c r="H58" s="2" t="s">
        <v>127</v>
      </c>
      <c r="I58" s="2" t="s">
        <v>128</v>
      </c>
      <c r="J58" s="3">
        <v>8</v>
      </c>
      <c r="K58" s="4">
        <v>2080</v>
      </c>
      <c r="L58" s="5">
        <v>45293</v>
      </c>
      <c r="M58" s="5">
        <v>45658</v>
      </c>
      <c r="N58" s="5">
        <v>45838</v>
      </c>
      <c r="O58" s="4">
        <v>129</v>
      </c>
      <c r="P58" s="6">
        <f>IF(OR($T58="Pause",$T58="Reset"),"",IFERROR($O58*$J58,""))</f>
        <v>1032</v>
      </c>
      <c r="Q58" s="7">
        <v>0</v>
      </c>
      <c r="R58" s="8">
        <f>IF(OR($T58="Pause",$T58="Reset"),0,IFERROR($P58/$K58,0))</f>
        <v>0.49615384615384617</v>
      </c>
      <c r="S58" s="8">
        <f>IF($T58="Reset",0,IF($B58=$B57,$S57+$R58,$Q58+$R58))</f>
        <v>1.5</v>
      </c>
      <c r="T58" s="2" t="s">
        <v>33</v>
      </c>
      <c r="U58" s="9" t="s">
        <v>129</v>
      </c>
    </row>
    <row r="59" spans="1:21" x14ac:dyDescent="0.35">
      <c r="A59" s="2">
        <v>12</v>
      </c>
      <c r="B59" s="2">
        <v>112</v>
      </c>
      <c r="C59" s="2" t="s">
        <v>21</v>
      </c>
      <c r="D59" s="2" t="s">
        <v>22</v>
      </c>
      <c r="E59" s="2" t="s">
        <v>23</v>
      </c>
      <c r="F59" s="2" t="s">
        <v>24</v>
      </c>
      <c r="G59" s="2" t="s">
        <v>35</v>
      </c>
      <c r="H59" s="2" t="s">
        <v>39</v>
      </c>
      <c r="I59" s="2" t="s">
        <v>40</v>
      </c>
      <c r="J59" s="3">
        <v>8</v>
      </c>
      <c r="K59" s="4">
        <v>2080</v>
      </c>
      <c r="L59" s="5">
        <v>45293</v>
      </c>
      <c r="M59" s="5">
        <v>45839</v>
      </c>
      <c r="N59" s="5">
        <v>45930</v>
      </c>
      <c r="O59" s="4">
        <v>66</v>
      </c>
      <c r="P59" s="6">
        <f>IF(OR($T59="Pause",$T59="Reset"),"",IFERROR($O59*$J59,""))</f>
        <v>528</v>
      </c>
      <c r="Q59" s="7">
        <v>0</v>
      </c>
      <c r="R59" s="8">
        <f>IF(OR($T59="Pause",$T59="Reset"),0,IFERROR($P59/$K59,0))</f>
        <v>0.25384615384615383</v>
      </c>
      <c r="S59" s="8">
        <f>IF($T59="Reset",0,IF($B59=$B58,$S58+$R59,$Q59+$R59))</f>
        <v>1.7538461538461538</v>
      </c>
      <c r="T59" s="2" t="s">
        <v>33</v>
      </c>
      <c r="U59" s="9" t="s">
        <v>42</v>
      </c>
    </row>
    <row r="60" spans="1:21" x14ac:dyDescent="0.35">
      <c r="A60" s="10">
        <v>12</v>
      </c>
      <c r="B60" s="10">
        <v>112</v>
      </c>
      <c r="C60" s="10" t="s">
        <v>119</v>
      </c>
      <c r="D60" s="10" t="s">
        <v>22</v>
      </c>
      <c r="E60" s="10" t="s">
        <v>23</v>
      </c>
      <c r="F60" s="10" t="s">
        <v>24</v>
      </c>
      <c r="G60" s="10" t="s">
        <v>120</v>
      </c>
      <c r="H60" s="10" t="s">
        <v>130</v>
      </c>
      <c r="I60" s="10" t="s">
        <v>131</v>
      </c>
      <c r="J60" s="11">
        <v>8</v>
      </c>
      <c r="K60" s="12">
        <v>2080</v>
      </c>
      <c r="L60" s="13">
        <v>45293</v>
      </c>
      <c r="M60" s="13">
        <v>45931</v>
      </c>
      <c r="N60" s="13">
        <v>46022</v>
      </c>
      <c r="O60" s="12"/>
      <c r="P60" s="14" t="str">
        <f>IF(OR($T60="Pause",$T60="Reset"),"",IFERROR($O60*$J60,""))</f>
        <v/>
      </c>
      <c r="Q60" s="15">
        <v>0</v>
      </c>
      <c r="R60" s="16">
        <f>IF(OR($T60="Pause",$T60="Reset"),0,IFERROR($P60/$K60,0))</f>
        <v>0</v>
      </c>
      <c r="S60" s="16">
        <f>IF($T60="Reset",0,IF($B60=$B59,$S59+$R60,$Q60+$R60))</f>
        <v>0</v>
      </c>
      <c r="T60" s="10" t="s">
        <v>123</v>
      </c>
      <c r="U60" s="17" t="s">
        <v>124</v>
      </c>
    </row>
  </sheetData>
  <conditionalFormatting sqref="A2:U60">
    <cfRule type="expression" dxfId="7" priority="1">
      <formula>$T2="Pause"</formula>
    </cfRule>
    <cfRule type="expression" dxfId="6" priority="2">
      <formula>$T2="Reset"</formula>
    </cfRule>
    <cfRule type="expression" dxfId="5" priority="3">
      <formula>$T2="Calc Change"</formula>
    </cfRule>
    <cfRule type="expression" dxfId="4" priority="4">
      <formula>OR($T2="Resume",$T2="Start")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"/>
  <sheetViews>
    <sheetView tabSelected="1" topLeftCell="K1" workbookViewId="0"/>
  </sheetViews>
  <sheetFormatPr defaultRowHeight="14.5" x14ac:dyDescent="0.35"/>
  <cols>
    <col min="1" max="1" width="8" customWidth="1"/>
    <col min="2" max="2" width="12" customWidth="1"/>
    <col min="3" max="3" width="14" customWidth="1"/>
    <col min="4" max="4" width="20" customWidth="1"/>
    <col min="5" max="5" width="10" customWidth="1"/>
    <col min="6" max="6" width="18" customWidth="1"/>
    <col min="7" max="7" width="16" customWidth="1"/>
    <col min="8" max="8" width="26" customWidth="1"/>
    <col min="9" max="9" width="18" customWidth="1"/>
    <col min="10" max="10" width="16" customWidth="1"/>
    <col min="11" max="11" width="18" customWidth="1"/>
    <col min="12" max="14" width="13" customWidth="1"/>
    <col min="15" max="15" width="12" customWidth="1"/>
    <col min="16" max="16" width="18" customWidth="1"/>
    <col min="17" max="18" width="12" customWidth="1"/>
    <col min="19" max="19" width="14" customWidth="1"/>
    <col min="20" max="20" width="12" customWidth="1"/>
    <col min="21" max="21" width="42" customWidth="1"/>
  </cols>
  <sheetData>
    <row r="1" spans="1:21" ht="21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1</v>
      </c>
      <c r="B2" s="2">
        <v>201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30</v>
      </c>
      <c r="H2" s="2" t="s">
        <v>31</v>
      </c>
      <c r="I2" s="2" t="s">
        <v>32</v>
      </c>
      <c r="J2" s="3">
        <v>8</v>
      </c>
      <c r="K2" s="4">
        <v>2080</v>
      </c>
      <c r="L2" s="5">
        <v>44362</v>
      </c>
      <c r="M2" s="5">
        <v>46023</v>
      </c>
      <c r="N2" s="5">
        <v>46112</v>
      </c>
      <c r="O2" s="4">
        <v>64</v>
      </c>
      <c r="P2" s="6">
        <f>IF(OR($T2="Pause",$T2="Reset"),"",IFERROR($O2*$J2,""))</f>
        <v>512</v>
      </c>
      <c r="Q2" s="7">
        <v>4</v>
      </c>
      <c r="R2" s="8">
        <f>IF(OR($T2="Pause",$T2="Reset"),0,IFERROR($P2/$K2,0))</f>
        <v>0.24615384615384617</v>
      </c>
      <c r="S2" s="8">
        <f>IF($T2="Reset",0,IF($B2=$B1,$S1+$R2,$Q2+$R2))</f>
        <v>4.2461538461538462</v>
      </c>
      <c r="T2" s="2" t="s">
        <v>33</v>
      </c>
      <c r="U2" s="9" t="s">
        <v>132</v>
      </c>
    </row>
    <row r="3" spans="1:21" x14ac:dyDescent="0.35">
      <c r="A3" s="2">
        <v>1</v>
      </c>
      <c r="B3" s="2">
        <v>201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35</v>
      </c>
      <c r="H3" s="2" t="s">
        <v>36</v>
      </c>
      <c r="I3" s="2" t="s">
        <v>37</v>
      </c>
      <c r="J3" s="3">
        <v>8</v>
      </c>
      <c r="K3" s="4">
        <v>2080</v>
      </c>
      <c r="L3" s="5">
        <v>44362</v>
      </c>
      <c r="M3" s="5">
        <v>46113</v>
      </c>
      <c r="N3" s="5">
        <v>46234</v>
      </c>
      <c r="O3" s="4">
        <v>88</v>
      </c>
      <c r="P3" s="6">
        <f>IF(OR($T3="Pause",$T3="Reset"),"",IFERROR($O3*$J3,""))</f>
        <v>704</v>
      </c>
      <c r="Q3" s="7">
        <v>4</v>
      </c>
      <c r="R3" s="8">
        <f>IF(OR($T3="Pause",$T3="Reset"),0,IFERROR($P3/$K3,0))</f>
        <v>0.33846153846153848</v>
      </c>
      <c r="S3" s="8">
        <f>IF($T3="Reset",0,IF($B3=$B2,$S2+$R3,$Q3+$R3))</f>
        <v>4.5846153846153843</v>
      </c>
      <c r="T3" s="2" t="s">
        <v>33</v>
      </c>
      <c r="U3" s="9" t="s">
        <v>38</v>
      </c>
    </row>
    <row r="4" spans="1:21" x14ac:dyDescent="0.35">
      <c r="A4" s="10">
        <v>1</v>
      </c>
      <c r="B4" s="10">
        <v>201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30</v>
      </c>
      <c r="H4" s="10" t="s">
        <v>133</v>
      </c>
      <c r="I4" s="10" t="s">
        <v>134</v>
      </c>
      <c r="J4" s="11">
        <v>8</v>
      </c>
      <c r="K4" s="12">
        <v>2080</v>
      </c>
      <c r="L4" s="13">
        <v>44362</v>
      </c>
      <c r="M4" s="13">
        <v>46235</v>
      </c>
      <c r="N4" s="13">
        <v>46387</v>
      </c>
      <c r="O4" s="12">
        <v>109</v>
      </c>
      <c r="P4" s="14">
        <f>IF(OR($T4="Pause",$T4="Reset"),"",IFERROR($O4*$J4,""))</f>
        <v>872</v>
      </c>
      <c r="Q4" s="15">
        <v>4</v>
      </c>
      <c r="R4" s="16">
        <f>IF(OR($T4="Pause",$T4="Reset"),0,IFERROR($P4/$K4,0))</f>
        <v>0.41923076923076924</v>
      </c>
      <c r="S4" s="16">
        <f>IF($T4="Reset",0,IF($B4=$B3,$S3+$R4,$Q4+$R4))</f>
        <v>5.0038461538461538</v>
      </c>
      <c r="T4" s="10" t="s">
        <v>33</v>
      </c>
      <c r="U4" s="17" t="s">
        <v>38</v>
      </c>
    </row>
    <row r="6" spans="1:21" x14ac:dyDescent="0.35">
      <c r="A6" s="2">
        <v>2</v>
      </c>
      <c r="B6" s="2">
        <v>202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30</v>
      </c>
      <c r="H6" s="2" t="s">
        <v>31</v>
      </c>
      <c r="I6" s="2" t="s">
        <v>32</v>
      </c>
      <c r="J6" s="3">
        <v>8</v>
      </c>
      <c r="K6" s="4">
        <v>2080</v>
      </c>
      <c r="L6" s="5">
        <v>43891</v>
      </c>
      <c r="M6" s="5">
        <v>46023</v>
      </c>
      <c r="N6" s="5">
        <v>46067</v>
      </c>
      <c r="O6" s="4">
        <v>32</v>
      </c>
      <c r="P6" s="6">
        <f>IF(OR($T6="Pause",$T6="Reset"),"",IFERROR($O6*$J6,""))</f>
        <v>256</v>
      </c>
      <c r="Q6" s="7">
        <v>5</v>
      </c>
      <c r="R6" s="8">
        <f>IF(OR($T6="Pause",$T6="Reset"),0,IFERROR($P6/$K6,0))</f>
        <v>0.12307692307692308</v>
      </c>
      <c r="S6" s="8">
        <f>IF($T6="Reset",0,IF($B6=$B5,$S5+$R6,$Q6+$R6))</f>
        <v>5.1230769230769226</v>
      </c>
      <c r="T6" s="2" t="s">
        <v>33</v>
      </c>
      <c r="U6" s="9" t="s">
        <v>135</v>
      </c>
    </row>
    <row r="7" spans="1:21" x14ac:dyDescent="0.35">
      <c r="A7" s="2">
        <v>2</v>
      </c>
      <c r="B7" s="2">
        <v>202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43</v>
      </c>
      <c r="H7" s="2" t="s">
        <v>44</v>
      </c>
      <c r="I7" s="2" t="s">
        <v>45</v>
      </c>
      <c r="J7" s="3">
        <v>8</v>
      </c>
      <c r="K7" s="4">
        <v>2080</v>
      </c>
      <c r="L7" s="5">
        <v>43891</v>
      </c>
      <c r="M7" s="5">
        <v>46068</v>
      </c>
      <c r="N7" s="5">
        <v>46173</v>
      </c>
      <c r="O7" s="4"/>
      <c r="P7" s="6" t="str">
        <f>IF(OR($T7="Pause",$T7="Reset"),"",IFERROR($O7*$J7,""))</f>
        <v/>
      </c>
      <c r="Q7" s="7">
        <v>5</v>
      </c>
      <c r="R7" s="8">
        <f>IF(OR($T7="Pause",$T7="Reset"),0,IFERROR($P7/$K7,0))</f>
        <v>0</v>
      </c>
      <c r="S7" s="8">
        <f>IF($T7="Reset",0,IF($B7=$B6,$S6+$R7,$Q7+$R7))</f>
        <v>5.1230769230769226</v>
      </c>
      <c r="T7" s="2" t="s">
        <v>46</v>
      </c>
      <c r="U7" s="9" t="s">
        <v>47</v>
      </c>
    </row>
    <row r="8" spans="1:21" x14ac:dyDescent="0.35">
      <c r="A8" s="2">
        <v>2</v>
      </c>
      <c r="B8" s="2">
        <v>202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30</v>
      </c>
      <c r="H8" s="2" t="s">
        <v>48</v>
      </c>
      <c r="I8" s="2" t="s">
        <v>49</v>
      </c>
      <c r="J8" s="3">
        <v>8</v>
      </c>
      <c r="K8" s="4">
        <v>2080</v>
      </c>
      <c r="L8" s="5">
        <v>43891</v>
      </c>
      <c r="M8" s="5">
        <v>46174</v>
      </c>
      <c r="N8" s="5">
        <v>46265</v>
      </c>
      <c r="O8" s="4">
        <v>66</v>
      </c>
      <c r="P8" s="6">
        <f>IF(OR($T8="Pause",$T8="Reset"),"",IFERROR($O8*$J8,""))</f>
        <v>528</v>
      </c>
      <c r="Q8" s="7">
        <v>5</v>
      </c>
      <c r="R8" s="8">
        <f>IF(OR($T8="Pause",$T8="Reset"),0,IFERROR($P8/$K8,0))</f>
        <v>0.25384615384615383</v>
      </c>
      <c r="S8" s="8">
        <f>IF($T8="Reset",0,IF($B8=$B7,$S7+$R8,$Q8+$R8))</f>
        <v>5.3769230769230765</v>
      </c>
      <c r="T8" s="2" t="s">
        <v>50</v>
      </c>
      <c r="U8" s="9" t="s">
        <v>136</v>
      </c>
    </row>
    <row r="9" spans="1:21" x14ac:dyDescent="0.35">
      <c r="A9" s="10">
        <v>2</v>
      </c>
      <c r="B9" s="10">
        <v>202</v>
      </c>
      <c r="C9" s="10" t="s">
        <v>21</v>
      </c>
      <c r="D9" s="10" t="s">
        <v>22</v>
      </c>
      <c r="E9" s="10" t="s">
        <v>23</v>
      </c>
      <c r="F9" s="10" t="s">
        <v>24</v>
      </c>
      <c r="G9" s="10" t="s">
        <v>30</v>
      </c>
      <c r="H9" s="10" t="s">
        <v>31</v>
      </c>
      <c r="I9" s="10" t="s">
        <v>32</v>
      </c>
      <c r="J9" s="11">
        <v>8</v>
      </c>
      <c r="K9" s="12">
        <v>2080</v>
      </c>
      <c r="L9" s="13">
        <v>43891</v>
      </c>
      <c r="M9" s="13">
        <v>46266</v>
      </c>
      <c r="N9" s="13">
        <v>46387</v>
      </c>
      <c r="O9" s="12">
        <v>88</v>
      </c>
      <c r="P9" s="14">
        <f>IF(OR($T9="Pause",$T9="Reset"),"",IFERROR($O9*$J9,""))</f>
        <v>704</v>
      </c>
      <c r="Q9" s="15">
        <v>5</v>
      </c>
      <c r="R9" s="16">
        <f>IF(OR($T9="Pause",$T9="Reset"),0,IFERROR($P9/$K9,0))</f>
        <v>0.33846153846153848</v>
      </c>
      <c r="S9" s="16">
        <f>IF($T9="Reset",0,IF($B9=$B8,$S8+$R9,$Q9+$R9))</f>
        <v>5.7153846153846146</v>
      </c>
      <c r="T9" s="10" t="s">
        <v>33</v>
      </c>
      <c r="U9" s="17" t="s">
        <v>137</v>
      </c>
    </row>
    <row r="11" spans="1:21" x14ac:dyDescent="0.35">
      <c r="A11" s="2">
        <v>3</v>
      </c>
      <c r="B11" s="2">
        <v>203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30</v>
      </c>
      <c r="H11" s="2" t="s">
        <v>138</v>
      </c>
      <c r="I11" s="2" t="s">
        <v>139</v>
      </c>
      <c r="J11" s="3">
        <v>8</v>
      </c>
      <c r="K11" s="4">
        <v>2080</v>
      </c>
      <c r="L11" s="5">
        <v>44571</v>
      </c>
      <c r="M11" s="5">
        <v>46023</v>
      </c>
      <c r="N11" s="5">
        <v>46081</v>
      </c>
      <c r="O11" s="4">
        <v>42</v>
      </c>
      <c r="P11" s="6">
        <f>IF(OR($T11="Pause",$T11="Reset"),"",IFERROR($O11*$J11,""))</f>
        <v>336</v>
      </c>
      <c r="Q11" s="7">
        <v>4</v>
      </c>
      <c r="R11" s="8">
        <f>IF(OR($T11="Pause",$T11="Reset"),0,IFERROR($P11/$K11,0))</f>
        <v>0.16153846153846155</v>
      </c>
      <c r="S11" s="8">
        <f>IF($T11="Reset",0,IF($B11=$B10,$S10+$R11,$Q11+$R11))</f>
        <v>4.1615384615384619</v>
      </c>
      <c r="T11" s="2" t="s">
        <v>33</v>
      </c>
      <c r="U11" s="9" t="s">
        <v>140</v>
      </c>
    </row>
    <row r="12" spans="1:21" x14ac:dyDescent="0.35">
      <c r="A12" s="2">
        <v>3</v>
      </c>
      <c r="B12" s="2">
        <v>203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43</v>
      </c>
      <c r="H12" s="2" t="s">
        <v>54</v>
      </c>
      <c r="I12" s="2" t="s">
        <v>55</v>
      </c>
      <c r="J12" s="3">
        <v>8</v>
      </c>
      <c r="K12" s="4">
        <v>2080</v>
      </c>
      <c r="L12" s="5">
        <v>44571</v>
      </c>
      <c r="M12" s="5">
        <v>46082</v>
      </c>
      <c r="N12" s="5">
        <v>46142</v>
      </c>
      <c r="O12" s="4"/>
      <c r="P12" s="6" t="str">
        <f>IF(OR($T12="Pause",$T12="Reset"),"",IFERROR($O12*$J12,""))</f>
        <v/>
      </c>
      <c r="Q12" s="7">
        <v>4</v>
      </c>
      <c r="R12" s="8">
        <f>IF(OR($T12="Pause",$T12="Reset"),0,IFERROR($P12/$K12,0))</f>
        <v>0</v>
      </c>
      <c r="S12" s="8">
        <f>IF($T12="Reset",0,IF($B12=$B11,$S11+$R12,$Q12+$R12))</f>
        <v>4.1615384615384619</v>
      </c>
      <c r="T12" s="2" t="s">
        <v>46</v>
      </c>
      <c r="U12" s="9" t="s">
        <v>56</v>
      </c>
    </row>
    <row r="13" spans="1:21" x14ac:dyDescent="0.35">
      <c r="A13" s="2">
        <v>3</v>
      </c>
      <c r="B13" s="2">
        <v>203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57</v>
      </c>
      <c r="H13" s="2" t="s">
        <v>58</v>
      </c>
      <c r="I13" s="2" t="s">
        <v>59</v>
      </c>
      <c r="J13" s="3">
        <v>8</v>
      </c>
      <c r="K13" s="4">
        <v>2080</v>
      </c>
      <c r="L13" s="5">
        <v>44571</v>
      </c>
      <c r="M13" s="5">
        <v>46143</v>
      </c>
      <c r="N13" s="5">
        <v>46295</v>
      </c>
      <c r="O13" s="4">
        <v>109</v>
      </c>
      <c r="P13" s="6">
        <f>IF(OR($T13="Pause",$T13="Reset"),"",IFERROR($O13*$J13,""))</f>
        <v>872</v>
      </c>
      <c r="Q13" s="7">
        <v>4</v>
      </c>
      <c r="R13" s="8">
        <f>IF(OR($T13="Pause",$T13="Reset"),0,IFERROR($P13/$K13,0))</f>
        <v>0.41923076923076924</v>
      </c>
      <c r="S13" s="8">
        <f>IF($T13="Reset",0,IF($B13=$B12,$S12+$R13,$Q13+$R13))</f>
        <v>4.5807692307692314</v>
      </c>
      <c r="T13" s="2" t="s">
        <v>50</v>
      </c>
      <c r="U13" s="9" t="s">
        <v>141</v>
      </c>
    </row>
    <row r="14" spans="1:21" x14ac:dyDescent="0.35">
      <c r="A14" s="10">
        <v>3</v>
      </c>
      <c r="B14" s="10">
        <v>203</v>
      </c>
      <c r="C14" s="10" t="s">
        <v>21</v>
      </c>
      <c r="D14" s="10" t="s">
        <v>22</v>
      </c>
      <c r="E14" s="10" t="s">
        <v>23</v>
      </c>
      <c r="F14" s="10" t="s">
        <v>24</v>
      </c>
      <c r="G14" s="10" t="s">
        <v>35</v>
      </c>
      <c r="H14" s="10" t="s">
        <v>39</v>
      </c>
      <c r="I14" s="10" t="s">
        <v>40</v>
      </c>
      <c r="J14" s="11">
        <v>8</v>
      </c>
      <c r="K14" s="12">
        <v>2080</v>
      </c>
      <c r="L14" s="13">
        <v>44571</v>
      </c>
      <c r="M14" s="13">
        <v>46296</v>
      </c>
      <c r="N14" s="13">
        <v>46387</v>
      </c>
      <c r="O14" s="12">
        <v>66</v>
      </c>
      <c r="P14" s="14">
        <f>IF(OR($T14="Pause",$T14="Reset"),"",IFERROR($O14*$J14,""))</f>
        <v>528</v>
      </c>
      <c r="Q14" s="15">
        <v>4</v>
      </c>
      <c r="R14" s="16">
        <f>IF(OR($T14="Pause",$T14="Reset"),0,IFERROR($P14/$K14,0))</f>
        <v>0.25384615384615383</v>
      </c>
      <c r="S14" s="16">
        <f>IF($T14="Reset",0,IF($B14=$B13,$S13+$R14,$Q14+$R14))</f>
        <v>4.8346153846153852</v>
      </c>
      <c r="T14" s="10" t="s">
        <v>33</v>
      </c>
      <c r="U14" s="17" t="s">
        <v>42</v>
      </c>
    </row>
    <row r="16" spans="1:21" x14ac:dyDescent="0.35">
      <c r="A16" s="2">
        <v>4</v>
      </c>
      <c r="B16" s="2">
        <v>204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30</v>
      </c>
      <c r="H16" s="2" t="s">
        <v>31</v>
      </c>
      <c r="I16" s="2" t="s">
        <v>32</v>
      </c>
      <c r="J16" s="3">
        <v>8</v>
      </c>
      <c r="K16" s="4">
        <v>2080</v>
      </c>
      <c r="L16" s="5">
        <v>44321</v>
      </c>
      <c r="M16" s="5">
        <v>46023</v>
      </c>
      <c r="N16" s="5">
        <v>46081</v>
      </c>
      <c r="O16" s="4">
        <v>42</v>
      </c>
      <c r="P16" s="6">
        <f>IF(OR($T16="Pause",$T16="Reset"),"",IFERROR($O16*$J16,""))</f>
        <v>336</v>
      </c>
      <c r="Q16" s="7">
        <v>4</v>
      </c>
      <c r="R16" s="8">
        <f>IF(OR($T16="Pause",$T16="Reset"),0,IFERROR($P16/$K16,0))</f>
        <v>0.16153846153846155</v>
      </c>
      <c r="S16" s="8">
        <f>IF($T16="Reset",0,IF($B16=$B15,$S15+$R16,$Q16+$R16))</f>
        <v>4.1615384615384619</v>
      </c>
      <c r="T16" s="2" t="s">
        <v>33</v>
      </c>
      <c r="U16" s="9" t="s">
        <v>142</v>
      </c>
    </row>
    <row r="17" spans="1:21" x14ac:dyDescent="0.35">
      <c r="A17" s="2">
        <v>4</v>
      </c>
      <c r="B17" s="2">
        <v>204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64</v>
      </c>
      <c r="H17" s="2" t="s">
        <v>65</v>
      </c>
      <c r="I17" s="2" t="s">
        <v>66</v>
      </c>
      <c r="J17" s="3">
        <v>8</v>
      </c>
      <c r="K17" s="4">
        <v>2080</v>
      </c>
      <c r="L17" s="5">
        <v>44321</v>
      </c>
      <c r="M17" s="5">
        <v>46082</v>
      </c>
      <c r="N17" s="5">
        <v>46265</v>
      </c>
      <c r="O17" s="4">
        <v>131</v>
      </c>
      <c r="P17" s="6">
        <f>IF(OR($T17="Pause",$T17="Reset"),"",IFERROR($O17*$J17,""))</f>
        <v>1048</v>
      </c>
      <c r="Q17" s="7">
        <v>4</v>
      </c>
      <c r="R17" s="8">
        <f>IF(OR($T17="Pause",$T17="Reset"),0,IFERROR($P17/$K17,0))</f>
        <v>0.50384615384615383</v>
      </c>
      <c r="S17" s="8">
        <f>IF($T17="Reset",0,IF($B17=$B16,$S16+$R17,$Q17+$R17))</f>
        <v>4.6653846153846157</v>
      </c>
      <c r="T17" s="2" t="s">
        <v>33</v>
      </c>
      <c r="U17" s="9" t="s">
        <v>143</v>
      </c>
    </row>
    <row r="18" spans="1:21" x14ac:dyDescent="0.35">
      <c r="A18" s="10">
        <v>4</v>
      </c>
      <c r="B18" s="10">
        <v>204</v>
      </c>
      <c r="C18" s="10" t="s">
        <v>21</v>
      </c>
      <c r="D18" s="10" t="s">
        <v>22</v>
      </c>
      <c r="E18" s="10" t="s">
        <v>23</v>
      </c>
      <c r="F18" s="10" t="s">
        <v>24</v>
      </c>
      <c r="G18" s="10" t="s">
        <v>57</v>
      </c>
      <c r="H18" s="10" t="s">
        <v>68</v>
      </c>
      <c r="I18" s="10" t="s">
        <v>69</v>
      </c>
      <c r="J18" s="11">
        <v>8</v>
      </c>
      <c r="K18" s="12">
        <v>2080</v>
      </c>
      <c r="L18" s="13">
        <v>44321</v>
      </c>
      <c r="M18" s="13">
        <v>46266</v>
      </c>
      <c r="N18" s="13">
        <v>46387</v>
      </c>
      <c r="O18" s="12">
        <v>88</v>
      </c>
      <c r="P18" s="14">
        <f>IF(OR($T18="Pause",$T18="Reset"),"",IFERROR($O18*$J18,""))</f>
        <v>704</v>
      </c>
      <c r="Q18" s="15">
        <v>4</v>
      </c>
      <c r="R18" s="16">
        <f>IF(OR($T18="Pause",$T18="Reset"),0,IFERROR($P18/$K18,0))</f>
        <v>0.33846153846153848</v>
      </c>
      <c r="S18" s="16">
        <f>IF($T18="Reset",0,IF($B18=$B17,$S17+$R18,$Q18+$R18))</f>
        <v>5.0038461538461538</v>
      </c>
      <c r="T18" s="10" t="s">
        <v>50</v>
      </c>
      <c r="U18" s="17" t="s">
        <v>70</v>
      </c>
    </row>
    <row r="20" spans="1:21" x14ac:dyDescent="0.35">
      <c r="A20" s="2">
        <v>5</v>
      </c>
      <c r="B20" s="2">
        <v>205</v>
      </c>
      <c r="C20" s="2" t="s">
        <v>21</v>
      </c>
      <c r="D20" s="2" t="s">
        <v>71</v>
      </c>
      <c r="E20" s="2" t="s">
        <v>23</v>
      </c>
      <c r="F20" s="2" t="s">
        <v>24</v>
      </c>
      <c r="G20" s="2" t="s">
        <v>30</v>
      </c>
      <c r="H20" s="2" t="s">
        <v>31</v>
      </c>
      <c r="I20" s="2" t="s">
        <v>32</v>
      </c>
      <c r="J20" s="3">
        <v>8</v>
      </c>
      <c r="K20" s="4">
        <v>2080</v>
      </c>
      <c r="L20" s="5">
        <v>43873</v>
      </c>
      <c r="M20" s="5">
        <v>46023</v>
      </c>
      <c r="N20" s="5">
        <v>46096</v>
      </c>
      <c r="O20" s="4">
        <v>52</v>
      </c>
      <c r="P20" s="6">
        <f>IF(OR($T20="Pause",$T20="Reset"),"",IFERROR($O20*$J20,""))</f>
        <v>416</v>
      </c>
      <c r="Q20" s="7">
        <v>6</v>
      </c>
      <c r="R20" s="8">
        <f>IF(OR($T20="Pause",$T20="Reset"),0,IFERROR($P20/$K20,0))</f>
        <v>0.2</v>
      </c>
      <c r="S20" s="8">
        <f>IF($T20="Reset",0,IF($B20=$B19,$S19+$R20,$Q20+$R20))</f>
        <v>6.2</v>
      </c>
      <c r="T20" s="2" t="s">
        <v>33</v>
      </c>
      <c r="U20" s="9" t="s">
        <v>144</v>
      </c>
    </row>
    <row r="21" spans="1:21" x14ac:dyDescent="0.35">
      <c r="A21" s="2">
        <v>5</v>
      </c>
      <c r="B21" s="2">
        <v>205</v>
      </c>
      <c r="C21" s="2" t="s">
        <v>21</v>
      </c>
      <c r="D21" s="2" t="s">
        <v>71</v>
      </c>
      <c r="E21" s="2" t="s">
        <v>23</v>
      </c>
      <c r="F21" s="2" t="s">
        <v>24</v>
      </c>
      <c r="G21" s="2" t="s">
        <v>64</v>
      </c>
      <c r="H21" s="2" t="s">
        <v>72</v>
      </c>
      <c r="I21" s="2" t="s">
        <v>73</v>
      </c>
      <c r="J21" s="3">
        <v>8</v>
      </c>
      <c r="K21" s="4">
        <v>2080</v>
      </c>
      <c r="L21" s="5">
        <v>43873</v>
      </c>
      <c r="M21" s="5">
        <v>46097</v>
      </c>
      <c r="N21" s="5">
        <v>46112</v>
      </c>
      <c r="O21" s="4">
        <v>12</v>
      </c>
      <c r="P21" s="6">
        <f>IF(OR($T21="Pause",$T21="Reset"),"",IFERROR($O21*$J21,""))</f>
        <v>96</v>
      </c>
      <c r="Q21" s="7">
        <v>6</v>
      </c>
      <c r="R21" s="8">
        <f>IF(OR($T21="Pause",$T21="Reset"),0,IFERROR($P21/$K21,0))</f>
        <v>4.6153846153846156E-2</v>
      </c>
      <c r="S21" s="8">
        <f>IF($T21="Reset",0,IF($B21=$B20,$S20+$R21,$Q21+$R21))</f>
        <v>6.2461538461538462</v>
      </c>
      <c r="T21" s="2" t="s">
        <v>33</v>
      </c>
      <c r="U21" s="9" t="s">
        <v>74</v>
      </c>
    </row>
    <row r="22" spans="1:21" x14ac:dyDescent="0.35">
      <c r="A22" s="2">
        <v>5</v>
      </c>
      <c r="B22" s="2">
        <v>205</v>
      </c>
      <c r="C22" s="2" t="s">
        <v>21</v>
      </c>
      <c r="D22" s="2" t="s">
        <v>71</v>
      </c>
      <c r="E22" s="2" t="s">
        <v>23</v>
      </c>
      <c r="F22" s="2" t="s">
        <v>24</v>
      </c>
      <c r="G22" s="2" t="s">
        <v>64</v>
      </c>
      <c r="H22" s="2" t="s">
        <v>72</v>
      </c>
      <c r="I22" s="2" t="s">
        <v>73</v>
      </c>
      <c r="J22" s="3">
        <v>8</v>
      </c>
      <c r="K22" s="4">
        <v>2080</v>
      </c>
      <c r="L22" s="5">
        <v>43873</v>
      </c>
      <c r="M22" s="5">
        <v>46113</v>
      </c>
      <c r="N22" s="5">
        <v>46295</v>
      </c>
      <c r="O22" s="4"/>
      <c r="P22" s="6" t="str">
        <f>IF(OR($T22="Pause",$T22="Reset"),"",IFERROR($O22*$J22,""))</f>
        <v/>
      </c>
      <c r="Q22" s="7">
        <v>6</v>
      </c>
      <c r="R22" s="8">
        <f>IF(OR($T22="Pause",$T22="Reset"),0,IFERROR($P22/$K22,0))</f>
        <v>0</v>
      </c>
      <c r="S22" s="8">
        <f>IF($T22="Reset",0,IF($B22=$B21,$S21+$R22,$Q22+$R22))</f>
        <v>6.2461538461538462</v>
      </c>
      <c r="T22" s="2" t="s">
        <v>46</v>
      </c>
      <c r="U22" s="9" t="s">
        <v>75</v>
      </c>
    </row>
    <row r="23" spans="1:21" x14ac:dyDescent="0.35">
      <c r="A23" s="10">
        <v>5</v>
      </c>
      <c r="B23" s="10">
        <v>205</v>
      </c>
      <c r="C23" s="10" t="s">
        <v>21</v>
      </c>
      <c r="D23" s="10" t="s">
        <v>71</v>
      </c>
      <c r="E23" s="10" t="s">
        <v>23</v>
      </c>
      <c r="F23" s="10" t="s">
        <v>24</v>
      </c>
      <c r="G23" s="10" t="s">
        <v>57</v>
      </c>
      <c r="H23" s="10" t="s">
        <v>76</v>
      </c>
      <c r="I23" s="10" t="s">
        <v>77</v>
      </c>
      <c r="J23" s="11">
        <v>8</v>
      </c>
      <c r="K23" s="12">
        <v>2080</v>
      </c>
      <c r="L23" s="13">
        <v>43873</v>
      </c>
      <c r="M23" s="13">
        <v>46296</v>
      </c>
      <c r="N23" s="13">
        <v>46387</v>
      </c>
      <c r="O23" s="12">
        <v>66</v>
      </c>
      <c r="P23" s="14">
        <f>IF(OR($T23="Pause",$T23="Reset"),"",IFERROR($O23*$J23,""))</f>
        <v>528</v>
      </c>
      <c r="Q23" s="15">
        <v>6</v>
      </c>
      <c r="R23" s="16">
        <f>IF(OR($T23="Pause",$T23="Reset"),0,IFERROR($P23/$K23,0))</f>
        <v>0.25384615384615383</v>
      </c>
      <c r="S23" s="16">
        <f>IF($T23="Reset",0,IF($B23=$B22,$S22+$R23,$Q23+$R23))</f>
        <v>6.5</v>
      </c>
      <c r="T23" s="10" t="s">
        <v>50</v>
      </c>
      <c r="U23" s="17" t="s">
        <v>136</v>
      </c>
    </row>
    <row r="25" spans="1:21" x14ac:dyDescent="0.35">
      <c r="A25" s="2">
        <v>6</v>
      </c>
      <c r="B25" s="2">
        <v>206</v>
      </c>
      <c r="C25" s="2" t="s">
        <v>21</v>
      </c>
      <c r="D25" s="2" t="s">
        <v>22</v>
      </c>
      <c r="E25" s="2" t="s">
        <v>23</v>
      </c>
      <c r="F25" s="2" t="s">
        <v>24</v>
      </c>
      <c r="G25" s="2" t="s">
        <v>30</v>
      </c>
      <c r="H25" s="2" t="s">
        <v>95</v>
      </c>
      <c r="I25" s="2" t="s">
        <v>95</v>
      </c>
      <c r="J25" s="3">
        <v>8</v>
      </c>
      <c r="K25" s="4">
        <v>2080</v>
      </c>
      <c r="L25" s="5">
        <v>44774</v>
      </c>
      <c r="M25" s="5">
        <v>46023</v>
      </c>
      <c r="N25" s="5">
        <v>46081</v>
      </c>
      <c r="O25" s="4">
        <v>42</v>
      </c>
      <c r="P25" s="6">
        <f>IF(OR($T25="Pause",$T25="Reset"),"",IFERROR($O25*$J25,""))</f>
        <v>336</v>
      </c>
      <c r="Q25" s="7">
        <v>3</v>
      </c>
      <c r="R25" s="8">
        <f>IF(OR($T25="Pause",$T25="Reset"),0,IFERROR($P25/$K25,0))</f>
        <v>0.16153846153846155</v>
      </c>
      <c r="S25" s="8">
        <f>IF($T25="Reset",0,IF($B25=$B24,$S24+$R25,$Q25+$R25))</f>
        <v>3.1615384615384614</v>
      </c>
      <c r="T25" s="2" t="s">
        <v>33</v>
      </c>
      <c r="U25" s="9" t="s">
        <v>42</v>
      </c>
    </row>
    <row r="26" spans="1:21" x14ac:dyDescent="0.35">
      <c r="A26" s="2">
        <v>6</v>
      </c>
      <c r="B26" s="2">
        <v>206</v>
      </c>
      <c r="C26" s="2" t="s">
        <v>21</v>
      </c>
      <c r="D26" s="2" t="s">
        <v>22</v>
      </c>
      <c r="E26" s="2" t="s">
        <v>23</v>
      </c>
      <c r="F26" s="2" t="s">
        <v>24</v>
      </c>
      <c r="G26" s="2" t="s">
        <v>64</v>
      </c>
      <c r="H26" s="2" t="s">
        <v>78</v>
      </c>
      <c r="I26" s="2" t="s">
        <v>79</v>
      </c>
      <c r="J26" s="3">
        <v>8</v>
      </c>
      <c r="K26" s="4">
        <v>2080</v>
      </c>
      <c r="L26" s="5">
        <v>44774</v>
      </c>
      <c r="M26" s="5">
        <v>46082</v>
      </c>
      <c r="N26" s="5">
        <v>46203</v>
      </c>
      <c r="O26" s="4"/>
      <c r="P26" s="6" t="str">
        <f>IF(OR($T26="Pause",$T26="Reset"),"",IFERROR($O26*$J26,""))</f>
        <v/>
      </c>
      <c r="Q26" s="7">
        <v>3</v>
      </c>
      <c r="R26" s="8">
        <f>IF(OR($T26="Pause",$T26="Reset"),0,IFERROR($P26/$K26,0))</f>
        <v>0</v>
      </c>
      <c r="S26" s="8">
        <f>IF($T26="Reset",0,IF($B26=$B25,$S25+$R26,$Q26+$R26))</f>
        <v>3.1615384615384614</v>
      </c>
      <c r="T26" s="2" t="s">
        <v>46</v>
      </c>
      <c r="U26" s="9" t="s">
        <v>80</v>
      </c>
    </row>
    <row r="27" spans="1:21" x14ac:dyDescent="0.35">
      <c r="A27" s="2">
        <v>6</v>
      </c>
      <c r="B27" s="2">
        <v>206</v>
      </c>
      <c r="C27" s="2" t="s">
        <v>21</v>
      </c>
      <c r="D27" s="2" t="s">
        <v>22</v>
      </c>
      <c r="E27" s="2" t="s">
        <v>23</v>
      </c>
      <c r="F27" s="2" t="s">
        <v>24</v>
      </c>
      <c r="G27" s="2" t="s">
        <v>57</v>
      </c>
      <c r="H27" s="2" t="s">
        <v>68</v>
      </c>
      <c r="I27" s="2" t="s">
        <v>69</v>
      </c>
      <c r="J27" s="3">
        <v>8</v>
      </c>
      <c r="K27" s="4">
        <v>2080</v>
      </c>
      <c r="L27" s="5">
        <v>44774</v>
      </c>
      <c r="M27" s="5">
        <v>46204</v>
      </c>
      <c r="N27" s="5">
        <v>46295</v>
      </c>
      <c r="O27" s="4">
        <v>66</v>
      </c>
      <c r="P27" s="6">
        <f>IF(OR($T27="Pause",$T27="Reset"),"",IFERROR($O27*$J27,""))</f>
        <v>528</v>
      </c>
      <c r="Q27" s="7">
        <v>3</v>
      </c>
      <c r="R27" s="8">
        <f>IF(OR($T27="Pause",$T27="Reset"),0,IFERROR($P27/$K27,0))</f>
        <v>0.25384615384615383</v>
      </c>
      <c r="S27" s="8">
        <f>IF($T27="Reset",0,IF($B27=$B26,$S26+$R27,$Q27+$R27))</f>
        <v>3.4153846153846152</v>
      </c>
      <c r="T27" s="2" t="s">
        <v>50</v>
      </c>
      <c r="U27" s="9" t="s">
        <v>145</v>
      </c>
    </row>
    <row r="28" spans="1:21" x14ac:dyDescent="0.35">
      <c r="A28" s="10">
        <v>6</v>
      </c>
      <c r="B28" s="10">
        <v>206</v>
      </c>
      <c r="C28" s="10" t="s">
        <v>21</v>
      </c>
      <c r="D28" s="10" t="s">
        <v>22</v>
      </c>
      <c r="E28" s="10" t="s">
        <v>23</v>
      </c>
      <c r="F28" s="10" t="s">
        <v>24</v>
      </c>
      <c r="G28" s="10" t="s">
        <v>30</v>
      </c>
      <c r="H28" s="10" t="s">
        <v>82</v>
      </c>
      <c r="I28" s="10" t="s">
        <v>83</v>
      </c>
      <c r="J28" s="11">
        <v>8</v>
      </c>
      <c r="K28" s="12">
        <v>2080</v>
      </c>
      <c r="L28" s="13">
        <v>44774</v>
      </c>
      <c r="M28" s="13">
        <v>46296</v>
      </c>
      <c r="N28" s="13">
        <v>46387</v>
      </c>
      <c r="O28" s="12">
        <v>66</v>
      </c>
      <c r="P28" s="14">
        <f>IF(OR($T28="Pause",$T28="Reset"),"",IFERROR($O28*$J28,""))</f>
        <v>528</v>
      </c>
      <c r="Q28" s="15">
        <v>3</v>
      </c>
      <c r="R28" s="16">
        <f>IF(OR($T28="Pause",$T28="Reset"),0,IFERROR($P28/$K28,0))</f>
        <v>0.25384615384615383</v>
      </c>
      <c r="S28" s="16">
        <f>IF($T28="Reset",0,IF($B28=$B27,$S27+$R28,$Q28+$R28))</f>
        <v>3.6692307692307691</v>
      </c>
      <c r="T28" s="10" t="s">
        <v>33</v>
      </c>
      <c r="U28" s="17" t="s">
        <v>42</v>
      </c>
    </row>
    <row r="30" spans="1:21" x14ac:dyDescent="0.35">
      <c r="A30" s="2">
        <v>7</v>
      </c>
      <c r="B30" s="2">
        <v>207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64</v>
      </c>
      <c r="H30" s="2" t="s">
        <v>84</v>
      </c>
      <c r="I30" s="2" t="s">
        <v>85</v>
      </c>
      <c r="J30" s="3">
        <v>8</v>
      </c>
      <c r="K30" s="4">
        <v>2080</v>
      </c>
      <c r="L30" s="5">
        <v>44197</v>
      </c>
      <c r="M30" s="5">
        <v>46023</v>
      </c>
      <c r="N30" s="5">
        <v>46203</v>
      </c>
      <c r="O30" s="4">
        <v>129</v>
      </c>
      <c r="P30" s="6">
        <f>IF(OR($T30="Pause",$T30="Reset"),"",IFERROR($O30*$J30,""))</f>
        <v>1032</v>
      </c>
      <c r="Q30" s="7">
        <v>5</v>
      </c>
      <c r="R30" s="8">
        <f>IF(OR($T30="Pause",$T30="Reset"),0,IFERROR($P30/$K30,0))</f>
        <v>0.49615384615384617</v>
      </c>
      <c r="S30" s="8">
        <f>IF($T30="Reset",0,IF($B30=$B29,$S29+$R30,$Q30+$R30))</f>
        <v>5.4961538461538462</v>
      </c>
      <c r="T30" s="2" t="s">
        <v>33</v>
      </c>
      <c r="U30" s="9" t="s">
        <v>146</v>
      </c>
    </row>
    <row r="31" spans="1:21" x14ac:dyDescent="0.35">
      <c r="A31" s="2">
        <v>7</v>
      </c>
      <c r="B31" s="2">
        <v>207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57</v>
      </c>
      <c r="H31" s="2" t="s">
        <v>87</v>
      </c>
      <c r="I31" s="2" t="s">
        <v>88</v>
      </c>
      <c r="J31" s="3">
        <v>8</v>
      </c>
      <c r="K31" s="4">
        <v>2080</v>
      </c>
      <c r="L31" s="5">
        <v>44197</v>
      </c>
      <c r="M31" s="5">
        <v>46204</v>
      </c>
      <c r="N31" s="5">
        <v>46295</v>
      </c>
      <c r="O31" s="4">
        <v>66</v>
      </c>
      <c r="P31" s="6">
        <f>IF(OR($T31="Pause",$T31="Reset"),"",IFERROR($O31*$J31,""))</f>
        <v>528</v>
      </c>
      <c r="Q31" s="7">
        <v>5</v>
      </c>
      <c r="R31" s="8">
        <f>IF(OR($T31="Pause",$T31="Reset"),0,IFERROR($P31/$K31,0))</f>
        <v>0.25384615384615383</v>
      </c>
      <c r="S31" s="8">
        <f>IF($T31="Reset",0,IF($B31=$B30,$S30+$R31,$Q31+$R31))</f>
        <v>5.75</v>
      </c>
      <c r="T31" s="2" t="s">
        <v>33</v>
      </c>
      <c r="U31" s="9" t="s">
        <v>89</v>
      </c>
    </row>
    <row r="32" spans="1:21" ht="29" x14ac:dyDescent="0.35">
      <c r="A32" s="10">
        <v>7</v>
      </c>
      <c r="B32" s="10">
        <v>207</v>
      </c>
      <c r="C32" s="10" t="s">
        <v>21</v>
      </c>
      <c r="D32" s="10" t="s">
        <v>22</v>
      </c>
      <c r="E32" s="10" t="s">
        <v>23</v>
      </c>
      <c r="F32" s="10" t="s">
        <v>24</v>
      </c>
      <c r="G32" s="10" t="s">
        <v>35</v>
      </c>
      <c r="H32" s="10" t="s">
        <v>90</v>
      </c>
      <c r="I32" s="10" t="s">
        <v>91</v>
      </c>
      <c r="J32" s="11">
        <v>8</v>
      </c>
      <c r="K32" s="12">
        <v>2080</v>
      </c>
      <c r="L32" s="13">
        <v>44197</v>
      </c>
      <c r="M32" s="13">
        <v>46296</v>
      </c>
      <c r="N32" s="13">
        <v>46387</v>
      </c>
      <c r="O32" s="12">
        <v>66</v>
      </c>
      <c r="P32" s="14">
        <f>IF(OR($T32="Pause",$T32="Reset"),"",IFERROR($O32*$J32,""))</f>
        <v>528</v>
      </c>
      <c r="Q32" s="15">
        <v>5</v>
      </c>
      <c r="R32" s="16">
        <f>IF(OR($T32="Pause",$T32="Reset"),0,IFERROR($P32/$K32,0))</f>
        <v>0.25384615384615383</v>
      </c>
      <c r="S32" s="16">
        <f>IF($T32="Reset",0,IF($B32=$B31,$S31+$R32,$Q32+$R32))</f>
        <v>6.0038461538461538</v>
      </c>
      <c r="T32" s="10" t="s">
        <v>33</v>
      </c>
      <c r="U32" s="17" t="s">
        <v>42</v>
      </c>
    </row>
    <row r="34" spans="1:21" x14ac:dyDescent="0.35">
      <c r="A34" s="2">
        <v>8</v>
      </c>
      <c r="B34" s="2">
        <v>208</v>
      </c>
      <c r="C34" s="2" t="s">
        <v>21</v>
      </c>
      <c r="D34" s="2" t="s">
        <v>22</v>
      </c>
      <c r="E34" s="2" t="s">
        <v>23</v>
      </c>
      <c r="F34" s="2" t="s">
        <v>24</v>
      </c>
      <c r="G34" s="2" t="s">
        <v>64</v>
      </c>
      <c r="H34" s="2" t="s">
        <v>92</v>
      </c>
      <c r="I34" s="2" t="s">
        <v>93</v>
      </c>
      <c r="J34" s="3">
        <v>8</v>
      </c>
      <c r="K34" s="4">
        <v>2080</v>
      </c>
      <c r="L34" s="5">
        <v>43725</v>
      </c>
      <c r="M34" s="5">
        <v>46023</v>
      </c>
      <c r="N34" s="5">
        <v>46265</v>
      </c>
      <c r="O34" s="4">
        <v>173</v>
      </c>
      <c r="P34" s="6">
        <f>IF(OR($T34="Pause",$T34="Reset"),"",IFERROR($O34*$J34,""))</f>
        <v>1384</v>
      </c>
      <c r="Q34" s="7">
        <v>6</v>
      </c>
      <c r="R34" s="8">
        <f>IF(OR($T34="Pause",$T34="Reset"),0,IFERROR($P34/$K34,0))</f>
        <v>0.66538461538461535</v>
      </c>
      <c r="S34" s="8">
        <f>IF($T34="Reset",0,IF($B34=$B33,$S33+$R34,$Q34+$R34))</f>
        <v>6.6653846153846157</v>
      </c>
      <c r="T34" s="2" t="s">
        <v>33</v>
      </c>
      <c r="U34" s="9" t="s">
        <v>94</v>
      </c>
    </row>
    <row r="35" spans="1:21" x14ac:dyDescent="0.35">
      <c r="A35" s="2">
        <v>8</v>
      </c>
      <c r="B35" s="2">
        <v>208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57</v>
      </c>
      <c r="H35" s="2" t="s">
        <v>68</v>
      </c>
      <c r="I35" s="2" t="s">
        <v>69</v>
      </c>
      <c r="J35" s="3">
        <v>8</v>
      </c>
      <c r="K35" s="4">
        <v>2080</v>
      </c>
      <c r="L35" s="5">
        <v>43725</v>
      </c>
      <c r="M35" s="5">
        <v>46266</v>
      </c>
      <c r="N35" s="5">
        <v>46326</v>
      </c>
      <c r="O35" s="4">
        <v>44</v>
      </c>
      <c r="P35" s="6">
        <f>IF(OR($T35="Pause",$T35="Reset"),"",IFERROR($O35*$J35,""))</f>
        <v>352</v>
      </c>
      <c r="Q35" s="7">
        <v>6</v>
      </c>
      <c r="R35" s="8">
        <f>IF(OR($T35="Pause",$T35="Reset"),0,IFERROR($P35/$K35,0))</f>
        <v>0.16923076923076924</v>
      </c>
      <c r="S35" s="8">
        <f>IF($T35="Reset",0,IF($B35=$B34,$S34+$R35,$Q35+$R35))</f>
        <v>6.8346153846153852</v>
      </c>
      <c r="T35" s="2" t="s">
        <v>33</v>
      </c>
      <c r="U35" s="9" t="s">
        <v>89</v>
      </c>
    </row>
    <row r="36" spans="1:21" x14ac:dyDescent="0.35">
      <c r="A36" s="10">
        <v>8</v>
      </c>
      <c r="B36" s="10">
        <v>208</v>
      </c>
      <c r="C36" s="10" t="s">
        <v>21</v>
      </c>
      <c r="D36" s="10" t="s">
        <v>22</v>
      </c>
      <c r="E36" s="10" t="s">
        <v>23</v>
      </c>
      <c r="F36" s="10" t="s">
        <v>24</v>
      </c>
      <c r="G36" s="10" t="s">
        <v>30</v>
      </c>
      <c r="H36" s="10" t="s">
        <v>95</v>
      </c>
      <c r="I36" s="10" t="s">
        <v>95</v>
      </c>
      <c r="J36" s="11">
        <v>8</v>
      </c>
      <c r="K36" s="12">
        <v>2080</v>
      </c>
      <c r="L36" s="13">
        <v>43725</v>
      </c>
      <c r="M36" s="13">
        <v>46327</v>
      </c>
      <c r="N36" s="13">
        <v>46387</v>
      </c>
      <c r="O36" s="12">
        <v>44</v>
      </c>
      <c r="P36" s="14">
        <f>IF(OR($T36="Pause",$T36="Reset"),"",IFERROR($O36*$J36,""))</f>
        <v>352</v>
      </c>
      <c r="Q36" s="15">
        <v>6</v>
      </c>
      <c r="R36" s="16">
        <f>IF(OR($T36="Pause",$T36="Reset"),0,IFERROR($P36/$K36,0))</f>
        <v>0.16923076923076924</v>
      </c>
      <c r="S36" s="16">
        <f>IF($T36="Reset",0,IF($B36=$B35,$S35+$R36,$Q36+$R36))</f>
        <v>7.0038461538461547</v>
      </c>
      <c r="T36" s="10" t="s">
        <v>33</v>
      </c>
      <c r="U36" s="17" t="s">
        <v>42</v>
      </c>
    </row>
    <row r="38" spans="1:21" x14ac:dyDescent="0.35">
      <c r="A38" s="2">
        <v>9</v>
      </c>
      <c r="B38" s="2">
        <v>209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30</v>
      </c>
      <c r="H38" s="2" t="s">
        <v>31</v>
      </c>
      <c r="I38" s="2" t="s">
        <v>32</v>
      </c>
      <c r="J38" s="3">
        <v>8</v>
      </c>
      <c r="K38" s="4">
        <v>2080</v>
      </c>
      <c r="L38" s="5">
        <v>44114</v>
      </c>
      <c r="M38" s="5">
        <v>46023</v>
      </c>
      <c r="N38" s="5">
        <v>46081</v>
      </c>
      <c r="O38" s="4">
        <v>42</v>
      </c>
      <c r="P38" s="6">
        <f>IF(OR($T38="Pause",$T38="Reset"),"",IFERROR($O38*$J38,""))</f>
        <v>336</v>
      </c>
      <c r="Q38" s="7">
        <v>5</v>
      </c>
      <c r="R38" s="8">
        <f>IF(OR($T38="Pause",$T38="Reset"),0,IFERROR($P38/$K38,0))</f>
        <v>0.16153846153846155</v>
      </c>
      <c r="S38" s="8">
        <f>IF($T38="Reset",0,IF($B38=$B37,$S37+$R38,$Q38+$R38))</f>
        <v>5.1615384615384619</v>
      </c>
      <c r="T38" s="2" t="s">
        <v>33</v>
      </c>
      <c r="U38" s="9" t="s">
        <v>147</v>
      </c>
    </row>
    <row r="39" spans="1:21" x14ac:dyDescent="0.35">
      <c r="A39" s="2">
        <v>9</v>
      </c>
      <c r="B39" s="2">
        <v>209</v>
      </c>
      <c r="C39" s="2" t="s">
        <v>21</v>
      </c>
      <c r="D39" s="2" t="s">
        <v>22</v>
      </c>
      <c r="E39" s="2" t="s">
        <v>23</v>
      </c>
      <c r="F39" s="2" t="s">
        <v>24</v>
      </c>
      <c r="G39" s="2" t="s">
        <v>64</v>
      </c>
      <c r="H39" s="2" t="s">
        <v>97</v>
      </c>
      <c r="I39" s="2" t="s">
        <v>98</v>
      </c>
      <c r="J39" s="3">
        <v>8</v>
      </c>
      <c r="K39" s="4">
        <v>2080</v>
      </c>
      <c r="L39" s="5">
        <v>44114</v>
      </c>
      <c r="M39" s="5">
        <v>46082</v>
      </c>
      <c r="N39" s="5">
        <v>46203</v>
      </c>
      <c r="O39" s="4"/>
      <c r="P39" s="6" t="str">
        <f>IF(OR($T39="Pause",$T39="Reset"),"",IFERROR($O39*$J39,""))</f>
        <v/>
      </c>
      <c r="Q39" s="7">
        <v>5</v>
      </c>
      <c r="R39" s="8">
        <f>IF(OR($T39="Pause",$T39="Reset"),0,IFERROR($P39/$K39,0))</f>
        <v>0</v>
      </c>
      <c r="S39" s="8">
        <f>IF($T39="Reset",0,IF($B39=$B38,$S38+$R39,$Q39+$R39))</f>
        <v>5.1615384615384619</v>
      </c>
      <c r="T39" s="2" t="s">
        <v>46</v>
      </c>
      <c r="U39" s="9" t="s">
        <v>148</v>
      </c>
    </row>
    <row r="40" spans="1:21" x14ac:dyDescent="0.35">
      <c r="A40" s="2">
        <v>9</v>
      </c>
      <c r="B40" s="2">
        <v>209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57</v>
      </c>
      <c r="H40" s="2" t="s">
        <v>100</v>
      </c>
      <c r="I40" s="2" t="s">
        <v>101</v>
      </c>
      <c r="J40" s="3">
        <v>8</v>
      </c>
      <c r="K40" s="4">
        <v>2080</v>
      </c>
      <c r="L40" s="5">
        <v>44114</v>
      </c>
      <c r="M40" s="5">
        <v>46204</v>
      </c>
      <c r="N40" s="5">
        <v>46295</v>
      </c>
      <c r="O40" s="4">
        <v>66</v>
      </c>
      <c r="P40" s="6">
        <f>IF(OR($T40="Pause",$T40="Reset"),"",IFERROR($O40*$J40,""))</f>
        <v>528</v>
      </c>
      <c r="Q40" s="7">
        <v>5</v>
      </c>
      <c r="R40" s="8">
        <f>IF(OR($T40="Pause",$T40="Reset"),0,IFERROR($P40/$K40,0))</f>
        <v>0.25384615384615383</v>
      </c>
      <c r="S40" s="8">
        <f>IF($T40="Reset",0,IF($B40=$B39,$S39+$R40,$Q40+$R40))</f>
        <v>5.4153846153846157</v>
      </c>
      <c r="T40" s="2" t="s">
        <v>50</v>
      </c>
      <c r="U40" s="9" t="s">
        <v>136</v>
      </c>
    </row>
    <row r="41" spans="1:21" ht="29" x14ac:dyDescent="0.35">
      <c r="A41" s="10">
        <v>9</v>
      </c>
      <c r="B41" s="10">
        <v>209</v>
      </c>
      <c r="C41" s="10" t="s">
        <v>21</v>
      </c>
      <c r="D41" s="10" t="s">
        <v>22</v>
      </c>
      <c r="E41" s="10" t="s">
        <v>23</v>
      </c>
      <c r="F41" s="10" t="s">
        <v>24</v>
      </c>
      <c r="G41" s="10" t="s">
        <v>35</v>
      </c>
      <c r="H41" s="10" t="s">
        <v>103</v>
      </c>
      <c r="I41" s="10" t="s">
        <v>104</v>
      </c>
      <c r="J41" s="11">
        <v>8</v>
      </c>
      <c r="K41" s="12">
        <v>2080</v>
      </c>
      <c r="L41" s="13">
        <v>44114</v>
      </c>
      <c r="M41" s="13">
        <v>46296</v>
      </c>
      <c r="N41" s="13">
        <v>46387</v>
      </c>
      <c r="O41" s="12">
        <v>66</v>
      </c>
      <c r="P41" s="14">
        <f>IF(OR($T41="Pause",$T41="Reset"),"",IFERROR($O41*$J41,""))</f>
        <v>528</v>
      </c>
      <c r="Q41" s="15">
        <v>5</v>
      </c>
      <c r="R41" s="16">
        <f>IF(OR($T41="Pause",$T41="Reset"),0,IFERROR($P41/$K41,0))</f>
        <v>0.25384615384615383</v>
      </c>
      <c r="S41" s="16">
        <f>IF($T41="Reset",0,IF($B41=$B40,$S40+$R41,$Q41+$R41))</f>
        <v>5.6692307692307695</v>
      </c>
      <c r="T41" s="10" t="s">
        <v>33</v>
      </c>
      <c r="U41" s="17" t="s">
        <v>42</v>
      </c>
    </row>
    <row r="43" spans="1:21" x14ac:dyDescent="0.35">
      <c r="A43" s="2">
        <v>10</v>
      </c>
      <c r="B43" s="2">
        <v>210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30</v>
      </c>
      <c r="H43" s="2" t="s">
        <v>105</v>
      </c>
      <c r="I43" s="2" t="s">
        <v>106</v>
      </c>
      <c r="J43" s="3">
        <v>6</v>
      </c>
      <c r="K43" s="4">
        <v>1560</v>
      </c>
      <c r="L43" s="5">
        <v>44665</v>
      </c>
      <c r="M43" s="5">
        <v>46023</v>
      </c>
      <c r="N43" s="5">
        <v>46142</v>
      </c>
      <c r="O43" s="4">
        <v>86</v>
      </c>
      <c r="P43" s="6">
        <f>IF(OR($T43="Pause",$T43="Reset"),"",IFERROR($O43*$J43,""))</f>
        <v>516</v>
      </c>
      <c r="Q43" s="7">
        <v>3</v>
      </c>
      <c r="R43" s="8">
        <f>IF(OR($T43="Pause",$T43="Reset"),0,IFERROR($P43/$K43,0))</f>
        <v>0.33076923076923076</v>
      </c>
      <c r="S43" s="8">
        <f>IF($T43="Reset",0,IF($B43=$B42,$S42+$R43,$Q43+$R43))</f>
        <v>3.3307692307692309</v>
      </c>
      <c r="T43" s="2" t="s">
        <v>107</v>
      </c>
      <c r="U43" s="9" t="s">
        <v>149</v>
      </c>
    </row>
    <row r="44" spans="1:21" x14ac:dyDescent="0.35">
      <c r="A44" s="2">
        <v>10</v>
      </c>
      <c r="B44" s="2">
        <v>210</v>
      </c>
      <c r="C44" s="2" t="s">
        <v>21</v>
      </c>
      <c r="D44" s="2" t="s">
        <v>22</v>
      </c>
      <c r="E44" s="2" t="s">
        <v>23</v>
      </c>
      <c r="F44" s="2" t="s">
        <v>24</v>
      </c>
      <c r="G44" s="2" t="s">
        <v>30</v>
      </c>
      <c r="H44" s="2" t="s">
        <v>109</v>
      </c>
      <c r="I44" s="2" t="s">
        <v>110</v>
      </c>
      <c r="J44" s="3">
        <v>7</v>
      </c>
      <c r="K44" s="4">
        <v>1820</v>
      </c>
      <c r="L44" s="5">
        <v>44665</v>
      </c>
      <c r="M44" s="5">
        <v>46143</v>
      </c>
      <c r="N44" s="5">
        <v>46265</v>
      </c>
      <c r="O44" s="4">
        <v>87</v>
      </c>
      <c r="P44" s="6">
        <f>IF(OR($T44="Pause",$T44="Reset"),"",IFERROR($O44*$J44,""))</f>
        <v>609</v>
      </c>
      <c r="Q44" s="7">
        <v>3</v>
      </c>
      <c r="R44" s="8">
        <f>IF(OR($T44="Pause",$T44="Reset"),0,IFERROR($P44/$K44,0))</f>
        <v>0.33461538461538459</v>
      </c>
      <c r="S44" s="8">
        <f>IF($T44="Reset",0,IF($B44=$B43,$S43+$R44,$Q44+$R44))</f>
        <v>3.6653846153846157</v>
      </c>
      <c r="T44" s="2" t="s">
        <v>107</v>
      </c>
      <c r="U44" s="9" t="s">
        <v>150</v>
      </c>
    </row>
    <row r="45" spans="1:21" x14ac:dyDescent="0.35">
      <c r="A45" s="10">
        <v>10</v>
      </c>
      <c r="B45" s="10">
        <v>210</v>
      </c>
      <c r="C45" s="10" t="s">
        <v>21</v>
      </c>
      <c r="D45" s="10" t="s">
        <v>22</v>
      </c>
      <c r="E45" s="10" t="s">
        <v>23</v>
      </c>
      <c r="F45" s="10" t="s">
        <v>24</v>
      </c>
      <c r="G45" s="10" t="s">
        <v>112</v>
      </c>
      <c r="H45" s="10" t="s">
        <v>113</v>
      </c>
      <c r="I45" s="10" t="s">
        <v>114</v>
      </c>
      <c r="J45" s="11">
        <v>7</v>
      </c>
      <c r="K45" s="12">
        <v>1820</v>
      </c>
      <c r="L45" s="13">
        <v>44665</v>
      </c>
      <c r="M45" s="13">
        <v>46266</v>
      </c>
      <c r="N45" s="13">
        <v>46387</v>
      </c>
      <c r="O45" s="12">
        <v>88</v>
      </c>
      <c r="P45" s="14">
        <f>IF(OR($T45="Pause",$T45="Reset"),"",IFERROR($O45*$J45,""))</f>
        <v>616</v>
      </c>
      <c r="Q45" s="15">
        <v>3</v>
      </c>
      <c r="R45" s="16">
        <f>IF(OR($T45="Pause",$T45="Reset"),0,IFERROR($P45/$K45,0))</f>
        <v>0.33846153846153848</v>
      </c>
      <c r="S45" s="16">
        <f>IF($T45="Reset",0,IF($B45=$B44,$S44+$R45,$Q45+$R45))</f>
        <v>4.0038461538461538</v>
      </c>
      <c r="T45" s="10" t="s">
        <v>33</v>
      </c>
      <c r="U45" s="17" t="s">
        <v>115</v>
      </c>
    </row>
    <row r="47" spans="1:21" x14ac:dyDescent="0.35">
      <c r="A47" s="2">
        <v>11</v>
      </c>
      <c r="B47" s="2">
        <v>211</v>
      </c>
      <c r="C47" s="2" t="s">
        <v>21</v>
      </c>
      <c r="D47" s="2" t="s">
        <v>22</v>
      </c>
      <c r="E47" s="2" t="s">
        <v>23</v>
      </c>
      <c r="F47" s="2" t="s">
        <v>24</v>
      </c>
      <c r="G47" s="2" t="s">
        <v>30</v>
      </c>
      <c r="H47" s="2" t="s">
        <v>31</v>
      </c>
      <c r="I47" s="2" t="s">
        <v>32</v>
      </c>
      <c r="J47" s="3">
        <v>8</v>
      </c>
      <c r="K47" s="4">
        <v>2080</v>
      </c>
      <c r="L47" s="5">
        <v>43435</v>
      </c>
      <c r="M47" s="5">
        <v>46023</v>
      </c>
      <c r="N47" s="5">
        <v>46081</v>
      </c>
      <c r="O47" s="4">
        <v>42</v>
      </c>
      <c r="P47" s="6">
        <f>IF(OR($T47="Pause",$T47="Reset"),"",IFERROR($O47*$J47,""))</f>
        <v>336</v>
      </c>
      <c r="Q47" s="7">
        <v>7</v>
      </c>
      <c r="R47" s="8">
        <f>IF(OR($T47="Pause",$T47="Reset"),0,IFERROR($P47/$K47,0))</f>
        <v>0.16153846153846155</v>
      </c>
      <c r="S47" s="8">
        <f>IF($T47="Reset",0,IF($B47=$B46,$S46+$R47,$Q47+$R47))</f>
        <v>7.1615384615384619</v>
      </c>
      <c r="T47" s="2" t="s">
        <v>33</v>
      </c>
      <c r="U47" s="9" t="s">
        <v>135</v>
      </c>
    </row>
    <row r="48" spans="1:21" x14ac:dyDescent="0.35">
      <c r="A48" s="2">
        <v>11</v>
      </c>
      <c r="B48" s="2">
        <v>211</v>
      </c>
      <c r="C48" s="2" t="s">
        <v>21</v>
      </c>
      <c r="D48" s="2" t="s">
        <v>22</v>
      </c>
      <c r="E48" s="2" t="s">
        <v>23</v>
      </c>
      <c r="F48" s="2" t="s">
        <v>24</v>
      </c>
      <c r="G48" s="2" t="s">
        <v>43</v>
      </c>
      <c r="H48" s="2" t="s">
        <v>44</v>
      </c>
      <c r="I48" s="2" t="s">
        <v>45</v>
      </c>
      <c r="J48" s="3">
        <v>8</v>
      </c>
      <c r="K48" s="4">
        <v>2080</v>
      </c>
      <c r="L48" s="5">
        <v>43435</v>
      </c>
      <c r="M48" s="5">
        <v>46082</v>
      </c>
      <c r="N48" s="5">
        <v>46234</v>
      </c>
      <c r="O48" s="4"/>
      <c r="P48" s="6" t="str">
        <f>IF(OR($T48="Pause",$T48="Reset"),"",IFERROR($O48*$J48,""))</f>
        <v/>
      </c>
      <c r="Q48" s="7">
        <v>7</v>
      </c>
      <c r="R48" s="8">
        <f>IF(OR($T48="Pause",$T48="Reset"),0,IFERROR($P48/$K48,0))</f>
        <v>0</v>
      </c>
      <c r="S48" s="8">
        <f>IF($T48="Reset",0,IF($B48=$B47,$S47+$R48,$Q48+$R48))</f>
        <v>7.1615384615384619</v>
      </c>
      <c r="T48" s="2" t="s">
        <v>46</v>
      </c>
      <c r="U48" s="9" t="s">
        <v>151</v>
      </c>
    </row>
    <row r="49" spans="1:21" x14ac:dyDescent="0.35">
      <c r="A49" s="10">
        <v>11</v>
      </c>
      <c r="B49" s="10">
        <v>211</v>
      </c>
      <c r="C49" s="10" t="s">
        <v>119</v>
      </c>
      <c r="D49" s="10" t="s">
        <v>22</v>
      </c>
      <c r="E49" s="10" t="s">
        <v>23</v>
      </c>
      <c r="F49" s="10" t="s">
        <v>24</v>
      </c>
      <c r="G49" s="10" t="s">
        <v>120</v>
      </c>
      <c r="H49" s="10" t="s">
        <v>121</v>
      </c>
      <c r="I49" s="10" t="s">
        <v>122</v>
      </c>
      <c r="J49" s="11">
        <v>8</v>
      </c>
      <c r="K49" s="12">
        <v>2080</v>
      </c>
      <c r="L49" s="13">
        <v>43435</v>
      </c>
      <c r="M49" s="13">
        <v>46235</v>
      </c>
      <c r="N49" s="13">
        <v>46387</v>
      </c>
      <c r="O49" s="12"/>
      <c r="P49" s="14" t="str">
        <f>IF(OR($T49="Pause",$T49="Reset"),"",IFERROR($O49*$J49,""))</f>
        <v/>
      </c>
      <c r="Q49" s="15">
        <v>7</v>
      </c>
      <c r="R49" s="16">
        <f>IF(OR($T49="Pause",$T49="Reset"),0,IFERROR($P49/$K49,0))</f>
        <v>0</v>
      </c>
      <c r="S49" s="16">
        <f>IF($T49="Reset",0,IF($B49=$B48,$S48+$R49,$Q49+$R49))</f>
        <v>0</v>
      </c>
      <c r="T49" s="10" t="s">
        <v>123</v>
      </c>
      <c r="U49" s="17" t="s">
        <v>124</v>
      </c>
    </row>
    <row r="51" spans="1:21" x14ac:dyDescent="0.35">
      <c r="A51" s="2">
        <v>12</v>
      </c>
      <c r="B51" s="2">
        <v>212</v>
      </c>
      <c r="C51" s="2" t="s">
        <v>21</v>
      </c>
      <c r="D51" s="2" t="s">
        <v>22</v>
      </c>
      <c r="E51" s="2" t="s">
        <v>23</v>
      </c>
      <c r="F51" s="2" t="s">
        <v>24</v>
      </c>
      <c r="G51" s="2" t="s">
        <v>30</v>
      </c>
      <c r="H51" s="2" t="s">
        <v>31</v>
      </c>
      <c r="I51" s="2" t="s">
        <v>32</v>
      </c>
      <c r="J51" s="3">
        <v>8</v>
      </c>
      <c r="K51" s="4">
        <v>2080</v>
      </c>
      <c r="L51" s="5">
        <v>43668</v>
      </c>
      <c r="M51" s="5">
        <v>46023</v>
      </c>
      <c r="N51" s="5">
        <v>46112</v>
      </c>
      <c r="O51" s="4">
        <v>64</v>
      </c>
      <c r="P51" s="6">
        <f>IF(OR($T51="Pause",$T51="Reset"),"",IFERROR($O51*$J51,""))</f>
        <v>512</v>
      </c>
      <c r="Q51" s="7">
        <v>6</v>
      </c>
      <c r="R51" s="8">
        <f>IF(OR($T51="Pause",$T51="Reset"),0,IFERROR($P51/$K51,0))</f>
        <v>0.24615384615384617</v>
      </c>
      <c r="S51" s="8">
        <f>IF($T51="Reset",0,IF($B51=$B50,$S50+$R51,$Q51+$R51))</f>
        <v>6.2461538461538462</v>
      </c>
      <c r="T51" s="2" t="s">
        <v>33</v>
      </c>
      <c r="U51" s="9" t="s">
        <v>152</v>
      </c>
    </row>
    <row r="52" spans="1:21" x14ac:dyDescent="0.35">
      <c r="A52" s="2">
        <v>12</v>
      </c>
      <c r="B52" s="2">
        <v>212</v>
      </c>
      <c r="C52" s="2" t="s">
        <v>21</v>
      </c>
      <c r="D52" s="2" t="s">
        <v>22</v>
      </c>
      <c r="E52" s="2" t="s">
        <v>23</v>
      </c>
      <c r="F52" s="2" t="s">
        <v>24</v>
      </c>
      <c r="G52" s="2" t="s">
        <v>112</v>
      </c>
      <c r="H52" s="2" t="s">
        <v>153</v>
      </c>
      <c r="I52" s="2" t="s">
        <v>154</v>
      </c>
      <c r="J52" s="3">
        <v>7.75</v>
      </c>
      <c r="K52" s="4">
        <v>2015</v>
      </c>
      <c r="L52" s="5">
        <v>43668</v>
      </c>
      <c r="M52" s="5">
        <v>46113</v>
      </c>
      <c r="N52" s="5">
        <v>46265</v>
      </c>
      <c r="O52" s="4">
        <v>109</v>
      </c>
      <c r="P52" s="6">
        <f>IF(OR($T52="Pause",$T52="Reset"),"",IFERROR($O52*$J52,""))</f>
        <v>844.75</v>
      </c>
      <c r="Q52" s="7">
        <v>6</v>
      </c>
      <c r="R52" s="8">
        <f>IF(OR($T52="Pause",$T52="Reset"),0,IFERROR($P52/$K52,0))</f>
        <v>0.41923076923076924</v>
      </c>
      <c r="S52" s="8">
        <f>IF($T52="Reset",0,IF($B52=$B51,$S51+$R52,$Q52+$R52))</f>
        <v>6.6653846153846157</v>
      </c>
      <c r="T52" s="2" t="s">
        <v>107</v>
      </c>
      <c r="U52" s="9" t="s">
        <v>155</v>
      </c>
    </row>
    <row r="53" spans="1:21" x14ac:dyDescent="0.35">
      <c r="A53" s="10">
        <v>12</v>
      </c>
      <c r="B53" s="10">
        <v>212</v>
      </c>
      <c r="C53" s="10" t="s">
        <v>21</v>
      </c>
      <c r="D53" s="10" t="s">
        <v>22</v>
      </c>
      <c r="E53" s="10" t="s">
        <v>23</v>
      </c>
      <c r="F53" s="10" t="s">
        <v>24</v>
      </c>
      <c r="G53" s="10" t="s">
        <v>35</v>
      </c>
      <c r="H53" s="10" t="s">
        <v>39</v>
      </c>
      <c r="I53" s="10" t="s">
        <v>40</v>
      </c>
      <c r="J53" s="11">
        <v>7.75</v>
      </c>
      <c r="K53" s="12">
        <v>2015</v>
      </c>
      <c r="L53" s="13">
        <v>43668</v>
      </c>
      <c r="M53" s="13">
        <v>46266</v>
      </c>
      <c r="N53" s="13">
        <v>46387</v>
      </c>
      <c r="O53" s="12">
        <v>88</v>
      </c>
      <c r="P53" s="14">
        <f>IF(OR($T53="Pause",$T53="Reset"),"",IFERROR($O53*$J53,""))</f>
        <v>682</v>
      </c>
      <c r="Q53" s="15">
        <v>6</v>
      </c>
      <c r="R53" s="16">
        <f>IF(OR($T53="Pause",$T53="Reset"),0,IFERROR($P53/$K53,0))</f>
        <v>0.33846153846153848</v>
      </c>
      <c r="S53" s="16">
        <f>IF($T53="Reset",0,IF($B53=$B52,$S52+$R53,$Q53+$R53))</f>
        <v>7.0038461538461538</v>
      </c>
      <c r="T53" s="10" t="s">
        <v>33</v>
      </c>
      <c r="U53" s="17" t="s">
        <v>156</v>
      </c>
    </row>
    <row r="55" spans="1:21" ht="29" x14ac:dyDescent="0.35">
      <c r="A55" s="2">
        <v>13</v>
      </c>
      <c r="B55" s="2">
        <v>213</v>
      </c>
      <c r="C55" s="2" t="s">
        <v>21</v>
      </c>
      <c r="D55" s="2" t="s">
        <v>22</v>
      </c>
      <c r="E55" s="2" t="s">
        <v>23</v>
      </c>
      <c r="F55" s="2" t="s">
        <v>24</v>
      </c>
      <c r="G55" s="2" t="s">
        <v>64</v>
      </c>
      <c r="H55" s="2" t="s">
        <v>157</v>
      </c>
      <c r="I55" s="2" t="s">
        <v>158</v>
      </c>
      <c r="J55" s="3">
        <v>8</v>
      </c>
      <c r="K55" s="4">
        <v>2080</v>
      </c>
      <c r="L55" s="5">
        <v>43969</v>
      </c>
      <c r="M55" s="5">
        <v>46023</v>
      </c>
      <c r="N55" s="5">
        <v>46203</v>
      </c>
      <c r="O55" s="4">
        <v>129</v>
      </c>
      <c r="P55" s="6">
        <f>IF(OR($T55="Pause",$T55="Reset"),"",IFERROR($O55*$J55,""))</f>
        <v>1032</v>
      </c>
      <c r="Q55" s="7">
        <v>5</v>
      </c>
      <c r="R55" s="8">
        <f>IF(OR($T55="Pause",$T55="Reset"),0,IFERROR($P55/$K55,0))</f>
        <v>0.49615384615384617</v>
      </c>
      <c r="S55" s="8">
        <f>IF($T55="Reset",0,IF($B55=$B54,$S54+$R55,$Q55+$R55))</f>
        <v>5.4961538461538462</v>
      </c>
      <c r="T55" s="2" t="s">
        <v>33</v>
      </c>
      <c r="U55" s="9" t="s">
        <v>146</v>
      </c>
    </row>
    <row r="56" spans="1:21" x14ac:dyDescent="0.35">
      <c r="A56" s="2">
        <v>13</v>
      </c>
      <c r="B56" s="2">
        <v>213</v>
      </c>
      <c r="C56" s="2" t="s">
        <v>21</v>
      </c>
      <c r="D56" s="2" t="s">
        <v>22</v>
      </c>
      <c r="E56" s="2" t="s">
        <v>23</v>
      </c>
      <c r="F56" s="2" t="s">
        <v>24</v>
      </c>
      <c r="G56" s="2" t="s">
        <v>57</v>
      </c>
      <c r="H56" s="2" t="s">
        <v>76</v>
      </c>
      <c r="I56" s="2" t="s">
        <v>77</v>
      </c>
      <c r="J56" s="3">
        <v>8</v>
      </c>
      <c r="K56" s="4">
        <v>2080</v>
      </c>
      <c r="L56" s="5">
        <v>43969</v>
      </c>
      <c r="M56" s="5">
        <v>46204</v>
      </c>
      <c r="N56" s="5">
        <v>46295</v>
      </c>
      <c r="O56" s="4">
        <v>66</v>
      </c>
      <c r="P56" s="6">
        <f>IF(OR($T56="Pause",$T56="Reset"),"",IFERROR($O56*$J56,""))</f>
        <v>528</v>
      </c>
      <c r="Q56" s="7">
        <v>5</v>
      </c>
      <c r="R56" s="8">
        <f>IF(OR($T56="Pause",$T56="Reset"),0,IFERROR($P56/$K56,0))</f>
        <v>0.25384615384615383</v>
      </c>
      <c r="S56" s="8">
        <f>IF($T56="Reset",0,IF($B56=$B55,$S55+$R56,$Q56+$R56))</f>
        <v>5.75</v>
      </c>
      <c r="T56" s="2" t="s">
        <v>50</v>
      </c>
      <c r="U56" s="9" t="s">
        <v>89</v>
      </c>
    </row>
    <row r="57" spans="1:21" x14ac:dyDescent="0.35">
      <c r="A57" s="10">
        <v>13</v>
      </c>
      <c r="B57" s="10">
        <v>213</v>
      </c>
      <c r="C57" s="10" t="s">
        <v>119</v>
      </c>
      <c r="D57" s="10" t="s">
        <v>22</v>
      </c>
      <c r="E57" s="10" t="s">
        <v>23</v>
      </c>
      <c r="F57" s="10" t="s">
        <v>24</v>
      </c>
      <c r="G57" s="10" t="s">
        <v>120</v>
      </c>
      <c r="H57" s="10" t="s">
        <v>159</v>
      </c>
      <c r="I57" s="10" t="s">
        <v>160</v>
      </c>
      <c r="J57" s="11">
        <v>8</v>
      </c>
      <c r="K57" s="12">
        <v>2080</v>
      </c>
      <c r="L57" s="13">
        <v>43969</v>
      </c>
      <c r="M57" s="13">
        <v>46296</v>
      </c>
      <c r="N57" s="13">
        <v>46387</v>
      </c>
      <c r="O57" s="12"/>
      <c r="P57" s="14" t="str">
        <f>IF(OR($T57="Pause",$T57="Reset"),"",IFERROR($O57*$J57,""))</f>
        <v/>
      </c>
      <c r="Q57" s="15">
        <v>5</v>
      </c>
      <c r="R57" s="16">
        <f>IF(OR($T57="Pause",$T57="Reset"),0,IFERROR($P57/$K57,0))</f>
        <v>0</v>
      </c>
      <c r="S57" s="16">
        <f>IF($T57="Reset",0,IF($B57=$B56,$S56+$R57,$Q57+$R57))</f>
        <v>0</v>
      </c>
      <c r="T57" s="10" t="s">
        <v>123</v>
      </c>
      <c r="U57" s="17" t="s">
        <v>161</v>
      </c>
    </row>
  </sheetData>
  <conditionalFormatting sqref="A2:U57">
    <cfRule type="expression" dxfId="3" priority="1">
      <formula>$T2="Pause"</formula>
    </cfRule>
    <cfRule type="expression" dxfId="2" priority="2">
      <formula>$T2="Reset"</formula>
    </cfRule>
    <cfRule type="expression" dxfId="1" priority="3">
      <formula>$T2="Calc Change"</formula>
    </cfRule>
    <cfRule type="expression" dxfId="0" priority="4">
      <formula>OR($T2="Resume",$T2="Start")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New_Hire_Flows</vt:lpstr>
      <vt:lpstr>Existing_Employee_Flows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Rupesh Rane</cp:lastModifiedBy>
  <dcterms:modified xsi:type="dcterms:W3CDTF">2026-04-16T02:41:44Z</dcterms:modified>
</cp:coreProperties>
</file>